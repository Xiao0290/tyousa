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说明" sheetId="1" state="visible" r:id="rId1"/>
    <sheet xmlns:r="http://schemas.openxmlformats.org/officeDocument/2006/relationships" name="指标字典" sheetId="2" state="visible" r:id="rId2"/>
    <sheet xmlns:r="http://schemas.openxmlformats.org/officeDocument/2006/relationships" name="分位数阈值" sheetId="3" state="visible" r:id="rId3"/>
    <sheet xmlns:r="http://schemas.openxmlformats.org/officeDocument/2006/relationships" name="候选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4">
    <font>
      <name val="Calibri"/>
      <color theme="1"/>
      <sz val="11"/>
      <scheme val="minor"/>
    </font>
    <font>
      <name val="Calibri"/>
      <b val="1"/>
      <color rgb="FF1F4E79"/>
      <sz val="16"/>
      <scheme val="minor"/>
    </font>
    <font>
      <name val="Calibri"/>
      <b val="1"/>
      <color theme="1"/>
      <sz val="12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i val="1"/>
      <color rgb="FF666666"/>
      <scheme val="minor"/>
    </font>
    <font>
      <name val="Calibri"/>
      <b val="1"/>
      <color rgb="FFFFFFFF"/>
      <scheme val="minor"/>
    </font>
    <font>
      <name val="Calibri"/>
      <color rgb="FF000000"/>
      <scheme val="minor"/>
    </font>
    <font>
      <name val="Calibri"/>
      <b val="1"/>
      <color rgb="FF1F4E79"/>
      <scheme val="minor"/>
    </font>
    <font>
      <name val="Calibri"/>
      <color rgb="FF1F4E79"/>
      <scheme val="minor"/>
    </font>
    <font>
      <name val="Calibri"/>
      <b val="1"/>
      <color rgb="FF7F6000"/>
      <scheme val="minor"/>
    </font>
    <font/>
    <font>
      <name val="Calibri"/>
      <color rgb="FF0000FF"/>
      <scheme val="minor"/>
    </font>
  </fonts>
  <fills count="7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1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0" borderId="3" pivotButton="0" quotePrefix="0" xfId="0"/>
    <xf numFmtId="0" fontId="12" fillId="0" borderId="4" pivotButton="0" quotePrefix="0" xfId="0"/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164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1" fillId="6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ColWidth="14.43" defaultRowHeight="15" customHeight="1"/>
  <cols>
    <col width="120" customWidth="1" style="25" min="1" max="1"/>
    <col width="8.710000000000001" customWidth="1" style="25" min="2" max="26"/>
  </cols>
  <sheetData>
    <row r="1">
      <c r="A1" s="1" t="inlineStr">
        <is>
          <t>コインランドリー｜地理信息漏斗选址缩圈评分表（中文版）</t>
        </is>
      </c>
    </row>
    <row r="3">
      <c r="A3" s="2" t="inlineStr">
        <is>
          <t>导入 Google 表格后按以下步骤使用（本文件已预置公式到第204行；需要更多行可向下填充）：</t>
        </is>
      </c>
    </row>
    <row r="4">
      <c r="A4" s="3" t="inlineStr">
        <is>
          <t>1）在「候选点」表，从第5行开始：每行输入一个候选点（网格中心/商圈中心点）。先填：编号、区域名称、纬度、经度。</t>
        </is>
      </c>
    </row>
    <row r="5">
      <c r="A5" s="3" t="inlineStr">
        <is>
          <t>2）逐步补齐原始数据列（例如：600m内户数、2km内户数、竞品数量、租金坪单价等）。</t>
        </is>
      </c>
    </row>
    <row r="6">
      <c r="A6" s="3" t="inlineStr">
        <is>
          <t>3）评分列会自动把原始数据转换成 1~5 分（按 80/60/40/20 分位阈值）。当同一指标至少有 2 个候选点填了数值时才会开始出分（避免报错）。</t>
        </is>
      </c>
    </row>
    <row r="7">
      <c r="A7" s="3" t="inlineStr">
        <is>
          <t>4）先看「一票否决」：显示「淘汰」的点位直接剔除；再按「都市型总分」或「郊外型总分」排序取前20。</t>
        </is>
      </c>
    </row>
    <row r="8">
      <c r="A8" s="3" t="inlineStr">
        <is>
          <t>5）前20 往往集中在少数片区：建议按地理位置聚类，合并成前5~10商圈后，再进入线下验证（上下水/电力/排风/24h等属于下一阶段硬闸门）。</t>
        </is>
      </c>
    </row>
    <row r="9">
      <c r="A9" s="3" t="inlineStr">
        <is>
          <t>6）如需超过预置行数：复制最后一行的评分/总分公式单元格并向下填充即可。</t>
        </is>
      </c>
    </row>
    <row r="12">
      <c r="A12" s="4" t="inlineStr">
        <is>
          <t>表结构说明：</t>
        </is>
      </c>
    </row>
    <row r="13">
      <c r="A13" s="5" t="inlineStr">
        <is>
          <t>「指标字典」：指标定义、打分方向、两套权重、以及地理信息缩圈阶段的一票否决规则（权重可自行调整）。</t>
        </is>
      </c>
    </row>
    <row r="14">
      <c r="A14" s="5" t="inlineStr">
        <is>
          <t>「分位数阈值」：根据候选点数据自动计算每个指标的 80/60/40/20 分位阈值。</t>
        </is>
      </c>
    </row>
    <row r="15">
      <c r="A15" s="5" t="inlineStr">
        <is>
          <t>「候选点」：输入原始数据 → 自动评分 → 自动计算两套权重总分 → 得到地理信息缩圈结果。</t>
        </is>
      </c>
    </row>
    <row r="17">
      <c r="A17" s="6" t="inlineStr">
        <is>
          <t>注意：本表用于“地理信息缩圈”，不代替最终物件施工可行性判断与合同尽调。</t>
        </is>
      </c>
    </row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25" min="1" max="1"/>
    <col width="10" customWidth="1" style="25" min="2" max="2"/>
    <col width="8" customWidth="1" style="25" min="3" max="3"/>
    <col width="32" customWidth="1" style="25" min="4" max="4"/>
    <col width="8" customWidth="1" style="25" min="5" max="5"/>
    <col width="24" customWidth="1" style="25" min="6" max="6"/>
    <col width="8" customWidth="1" style="25" min="7" max="7"/>
    <col width="16" customWidth="1" style="25" min="8" max="8"/>
    <col width="44" customWidth="1" style="25" min="9" max="9"/>
    <col width="10" customWidth="1" style="25" min="10" max="11"/>
    <col width="20" customWidth="1" style="25" min="12" max="13"/>
    <col width="28" customWidth="1" style="25" min="14" max="14"/>
    <col width="8.710000000000001" customWidth="1" style="25" min="15" max="26"/>
  </cols>
  <sheetData>
    <row r="1">
      <c r="A1" s="7" t="inlineStr">
        <is>
          <t>指标ID</t>
        </is>
      </c>
      <c r="B1" s="7" t="inlineStr">
        <is>
          <t>阶段</t>
        </is>
      </c>
      <c r="C1" s="7" t="inlineStr">
        <is>
          <t>类别</t>
        </is>
      </c>
      <c r="D1" s="7" t="inlineStr">
        <is>
          <t>指标名称</t>
        </is>
      </c>
      <c r="E1" s="7" t="inlineStr">
        <is>
          <t>圈层</t>
        </is>
      </c>
      <c r="F1" s="7" t="inlineStr">
        <is>
          <t>原始字段（候选点表）</t>
        </is>
      </c>
      <c r="G1" s="7" t="inlineStr">
        <is>
          <t>单位</t>
        </is>
      </c>
      <c r="H1" s="7" t="inlineStr">
        <is>
          <t>方向（高=好/低=好）</t>
        </is>
      </c>
      <c r="I1" s="7" t="inlineStr">
        <is>
          <t>打分规则（说明）</t>
        </is>
      </c>
      <c r="J1" s="7" t="inlineStr">
        <is>
          <t>都市型权重</t>
        </is>
      </c>
      <c r="K1" s="7" t="inlineStr">
        <is>
          <t>郊外型权重</t>
        </is>
      </c>
      <c r="L1" s="7" t="inlineStr">
        <is>
          <t>都市型一票否决（缩圈）</t>
        </is>
      </c>
      <c r="M1" s="7" t="inlineStr">
        <is>
          <t>郊外型一票否决（缩圈）</t>
        </is>
      </c>
      <c r="N1" s="7" t="inlineStr">
        <is>
          <t>备注</t>
        </is>
      </c>
    </row>
    <row r="2">
      <c r="A2" s="8" t="inlineStr">
        <is>
          <t>D01</t>
        </is>
      </c>
      <c r="B2" s="8" t="inlineStr">
        <is>
          <t>地理信息</t>
        </is>
      </c>
      <c r="C2" s="8" t="inlineStr">
        <is>
          <t>需求</t>
        </is>
      </c>
      <c r="D2" s="8" t="inlineStr">
        <is>
          <t>600m内户数（世帯数）</t>
        </is>
      </c>
      <c r="E2" s="8" t="inlineStr">
        <is>
          <t>600m</t>
        </is>
      </c>
      <c r="F2" s="8" t="inlineStr">
        <is>
          <t>600m内户数</t>
        </is>
      </c>
      <c r="G2" s="8" t="inlineStr">
        <is>
          <t>户</t>
        </is>
      </c>
      <c r="H2" s="8" t="inlineStr">
        <is>
          <t>高=好</t>
        </is>
      </c>
      <c r="I2" s="8" t="inlineStr">
        <is>
          <t>分位数阈值法：&gt;=80分位=5；&gt;=60分位=4；&gt;=40分位=3；&gt;=20分位=2；否则=1</t>
        </is>
      </c>
      <c r="J2" s="9" t="n">
        <v>15</v>
      </c>
      <c r="K2" s="9" t="n">
        <v>8</v>
      </c>
      <c r="L2" s="8" t="inlineStr">
        <is>
          <t>若评分=1则淘汰</t>
        </is>
      </c>
      <c r="M2" s="8" t="n"/>
      <c r="N2" s="8" t="inlineStr">
        <is>
          <t>住宅需求核心</t>
        </is>
      </c>
    </row>
    <row r="3">
      <c r="A3" s="8" t="inlineStr">
        <is>
          <t>D02</t>
        </is>
      </c>
      <c r="B3" s="8" t="inlineStr">
        <is>
          <t>地理信息</t>
        </is>
      </c>
      <c r="C3" s="8" t="inlineStr">
        <is>
          <t>需求</t>
        </is>
      </c>
      <c r="D3" s="8" t="inlineStr">
        <is>
          <t>2km内户数（世帯数）</t>
        </is>
      </c>
      <c r="E3" s="8" t="inlineStr">
        <is>
          <t>2km</t>
        </is>
      </c>
      <c r="F3" s="8" t="inlineStr">
        <is>
          <t>2km内户数</t>
        </is>
      </c>
      <c r="G3" s="8" t="inlineStr">
        <is>
          <t>户</t>
        </is>
      </c>
      <c r="H3" s="8" t="inlineStr">
        <is>
          <t>高=好</t>
        </is>
      </c>
      <c r="I3" s="8" t="inlineStr">
        <is>
          <t>分位数阈值法（同上）</t>
        </is>
      </c>
      <c r="J3" s="9" t="n">
        <v>0</v>
      </c>
      <c r="K3" s="9" t="n">
        <v>15</v>
      </c>
      <c r="L3" s="8" t="n"/>
      <c r="M3" s="8" t="inlineStr">
        <is>
          <t>若评分=1则淘汰</t>
        </is>
      </c>
      <c r="N3" s="8" t="inlineStr">
        <is>
          <t>郊外型主要商圈</t>
        </is>
      </c>
    </row>
    <row r="4">
      <c r="A4" s="8" t="inlineStr">
        <is>
          <t>D03</t>
        </is>
      </c>
      <c r="B4" s="8" t="inlineStr">
        <is>
          <t>地理信息</t>
        </is>
      </c>
      <c r="C4" s="8" t="inlineStr">
        <is>
          <t>需求</t>
        </is>
      </c>
      <c r="D4" s="8" t="inlineStr">
        <is>
          <t>600m内租赁户占比</t>
        </is>
      </c>
      <c r="E4" s="8" t="inlineStr">
        <is>
          <t>600m</t>
        </is>
      </c>
      <c r="F4" s="8" t="inlineStr">
        <is>
          <t>600m内租赁户占比</t>
        </is>
      </c>
      <c r="G4" s="8" t="inlineStr">
        <is>
          <t>%</t>
        </is>
      </c>
      <c r="H4" s="8" t="inlineStr">
        <is>
          <t>高=好</t>
        </is>
      </c>
      <c r="I4" s="8" t="inlineStr">
        <is>
          <t>分位数阈值法（同上）</t>
        </is>
      </c>
      <c r="J4" s="9" t="n">
        <v>10</v>
      </c>
      <c r="K4" s="9" t="n">
        <v>0</v>
      </c>
      <c r="L4" s="8" t="n"/>
      <c r="M4" s="8" t="n"/>
      <c r="N4" s="8" t="inlineStr">
        <is>
          <t>租赁多常对应小户型/无洗衣条件（代理指标）</t>
        </is>
      </c>
    </row>
    <row r="5">
      <c r="A5" s="8" t="inlineStr">
        <is>
          <t>D04</t>
        </is>
      </c>
      <c r="B5" s="8" t="inlineStr">
        <is>
          <t>地理信息</t>
        </is>
      </c>
      <c r="C5" s="8" t="inlineStr">
        <is>
          <t>需求</t>
        </is>
      </c>
      <c r="D5" s="8" t="inlineStr">
        <is>
          <t>2km内租赁户占比</t>
        </is>
      </c>
      <c r="E5" s="8" t="inlineStr">
        <is>
          <t>2km</t>
        </is>
      </c>
      <c r="F5" s="8" t="inlineStr">
        <is>
          <t>2km内租赁户占比</t>
        </is>
      </c>
      <c r="G5" s="8" t="inlineStr">
        <is>
          <t>%</t>
        </is>
      </c>
      <c r="H5" s="8" t="inlineStr">
        <is>
          <t>高=好</t>
        </is>
      </c>
      <c r="I5" s="8" t="inlineStr">
        <is>
          <t>分位数阈值法（同上）</t>
        </is>
      </c>
      <c r="J5" s="9" t="n">
        <v>0</v>
      </c>
      <c r="K5" s="9" t="n">
        <v>5</v>
      </c>
      <c r="L5" s="8" t="n"/>
      <c r="M5" s="8" t="n"/>
      <c r="N5" s="8" t="inlineStr">
        <is>
          <t>郊外也保留少量权重</t>
        </is>
      </c>
    </row>
    <row r="6">
      <c r="A6" s="8" t="inlineStr">
        <is>
          <t>D05</t>
        </is>
      </c>
      <c r="B6" s="8" t="inlineStr">
        <is>
          <t>地理信息</t>
        </is>
      </c>
      <c r="C6" s="8" t="inlineStr">
        <is>
          <t>需求</t>
        </is>
      </c>
      <c r="D6" s="8" t="inlineStr">
        <is>
          <t>600m内集合住宅占比</t>
        </is>
      </c>
      <c r="E6" s="8" t="inlineStr">
        <is>
          <t>600m</t>
        </is>
      </c>
      <c r="F6" s="8" t="inlineStr">
        <is>
          <t>600m内集合住宅占比</t>
        </is>
      </c>
      <c r="G6" s="8" t="inlineStr">
        <is>
          <t>%</t>
        </is>
      </c>
      <c r="H6" s="8" t="inlineStr">
        <is>
          <t>高=好</t>
        </is>
      </c>
      <c r="I6" s="8" t="inlineStr">
        <is>
          <t>分位数阈值法（同上）</t>
        </is>
      </c>
      <c r="J6" s="9" t="n">
        <v>8</v>
      </c>
      <c r="K6" s="9" t="n">
        <v>0</v>
      </c>
      <c r="L6" s="8" t="n"/>
      <c r="M6" s="8" t="n"/>
      <c r="N6" s="8" t="inlineStr">
        <is>
          <t>公寓密度代理</t>
        </is>
      </c>
    </row>
    <row r="7">
      <c r="A7" s="8" t="inlineStr">
        <is>
          <t>D06</t>
        </is>
      </c>
      <c r="B7" s="8" t="inlineStr">
        <is>
          <t>地理信息</t>
        </is>
      </c>
      <c r="C7" s="8" t="inlineStr">
        <is>
          <t>需求</t>
        </is>
      </c>
      <c r="D7" s="8" t="inlineStr">
        <is>
          <t>600m内小户型占比（单身+2人户）</t>
        </is>
      </c>
      <c r="E7" s="8" t="inlineStr">
        <is>
          <t>600m</t>
        </is>
      </c>
      <c r="F7" s="8" t="inlineStr">
        <is>
          <t>600m内小户型占比</t>
        </is>
      </c>
      <c r="G7" s="8" t="inlineStr">
        <is>
          <t>%</t>
        </is>
      </c>
      <c r="H7" s="8" t="inlineStr">
        <is>
          <t>高=好</t>
        </is>
      </c>
      <c r="I7" s="8" t="inlineStr">
        <is>
          <t>分位数阈值法（同上）</t>
        </is>
      </c>
      <c r="J7" s="9" t="n">
        <v>6</v>
      </c>
      <c r="K7" s="9" t="n">
        <v>0</v>
      </c>
      <c r="L7" s="8" t="n"/>
      <c r="M7" s="8" t="n"/>
      <c r="N7" s="8" t="inlineStr">
        <is>
          <t>更贴近都市型画像（代理指标）</t>
        </is>
      </c>
    </row>
    <row r="8">
      <c r="A8" s="8" t="inlineStr">
        <is>
          <t>D07</t>
        </is>
      </c>
      <c r="B8" s="8" t="inlineStr">
        <is>
          <t>地理信息</t>
        </is>
      </c>
      <c r="C8" s="8" t="inlineStr">
        <is>
          <t>需求</t>
        </is>
      </c>
      <c r="D8" s="8" t="inlineStr">
        <is>
          <t>2km内家庭户占比</t>
        </is>
      </c>
      <c r="E8" s="8" t="inlineStr">
        <is>
          <t>2km</t>
        </is>
      </c>
      <c r="F8" s="8" t="inlineStr">
        <is>
          <t>2km内家庭户占比</t>
        </is>
      </c>
      <c r="G8" s="8" t="inlineStr">
        <is>
          <t>%</t>
        </is>
      </c>
      <c r="H8" s="8" t="inlineStr">
        <is>
          <t>高=好</t>
        </is>
      </c>
      <c r="I8" s="8" t="inlineStr">
        <is>
          <t>分位数阈值法（同上）</t>
        </is>
      </c>
      <c r="J8" s="9" t="n">
        <v>0</v>
      </c>
      <c r="K8" s="9" t="n">
        <v>5</v>
      </c>
      <c r="L8" s="8" t="n"/>
      <c r="M8" s="8" t="n"/>
      <c r="N8" s="8" t="inlineStr">
        <is>
          <t>郊外型更相关（代理指标）</t>
        </is>
      </c>
    </row>
    <row r="9">
      <c r="A9" s="8" t="inlineStr">
        <is>
          <t>D08</t>
        </is>
      </c>
      <c r="B9" s="8" t="inlineStr">
        <is>
          <t>地理信息</t>
        </is>
      </c>
      <c r="C9" s="8" t="inlineStr">
        <is>
          <t>需求</t>
        </is>
      </c>
      <c r="D9" s="8" t="inlineStr">
        <is>
          <t>人口/户数趋势指数（区域）</t>
        </is>
      </c>
      <c r="E9" s="8" t="inlineStr">
        <is>
          <t>区域</t>
        </is>
      </c>
      <c r="F9" s="8" t="inlineStr">
        <is>
          <t>人口趋势指数</t>
        </is>
      </c>
      <c r="G9" s="8" t="inlineStr">
        <is>
          <t>指数</t>
        </is>
      </c>
      <c r="H9" s="8" t="inlineStr">
        <is>
          <t>高=好</t>
        </is>
      </c>
      <c r="I9" s="8" t="inlineStr">
        <is>
          <t>分位数阈值法（同上；拿不到可先填3）</t>
        </is>
      </c>
      <c r="J9" s="9" t="n">
        <v>6</v>
      </c>
      <c r="K9" s="9" t="n">
        <v>5</v>
      </c>
      <c r="L9" s="8" t="n"/>
      <c r="M9" s="8" t="n"/>
      <c r="N9" s="8" t="inlineStr">
        <is>
          <t>用于趋势代理（RESAS等）</t>
        </is>
      </c>
    </row>
    <row r="10">
      <c r="A10" s="8" t="inlineStr">
        <is>
          <t>C01</t>
        </is>
      </c>
      <c r="B10" s="8" t="inlineStr">
        <is>
          <t>地理信息</t>
        </is>
      </c>
      <c r="C10" s="8" t="inlineStr">
        <is>
          <t>竞争</t>
        </is>
      </c>
      <c r="D10" s="8" t="inlineStr">
        <is>
          <t>600m内竞品数量</t>
        </is>
      </c>
      <c r="E10" s="8" t="inlineStr">
        <is>
          <t>600m</t>
        </is>
      </c>
      <c r="F10" s="8" t="inlineStr">
        <is>
          <t>600m内竞品数量</t>
        </is>
      </c>
      <c r="G10" s="8" t="inlineStr">
        <is>
          <t>家</t>
        </is>
      </c>
      <c r="H10" s="8" t="inlineStr">
        <is>
          <t>低=好</t>
        </is>
      </c>
      <c r="I10" s="8" t="inlineStr">
        <is>
          <t>反向分位数阈值法：&lt;=20分位=5；&lt;=40分位=4；&lt;=60分位=3；&lt;=80分位=2；否则=1</t>
        </is>
      </c>
      <c r="J10" s="9" t="n">
        <v>10</v>
      </c>
      <c r="K10" s="9" t="n">
        <v>0</v>
      </c>
      <c r="L10" s="8" t="inlineStr">
        <is>
          <t>若评分=1且D01&lt;=2可考虑淘汰</t>
        </is>
      </c>
      <c r="M10" s="8" t="n"/>
      <c r="N10" s="8" t="inlineStr">
        <is>
          <t>密集竞争会挤压卖上</t>
        </is>
      </c>
    </row>
    <row r="11">
      <c r="A11" s="8" t="inlineStr">
        <is>
          <t>C02</t>
        </is>
      </c>
      <c r="B11" s="8" t="inlineStr">
        <is>
          <t>地理信息</t>
        </is>
      </c>
      <c r="C11" s="8" t="inlineStr">
        <is>
          <t>竞争</t>
        </is>
      </c>
      <c r="D11" s="8" t="inlineStr">
        <is>
          <t>2km内竞品数量</t>
        </is>
      </c>
      <c r="E11" s="8" t="inlineStr">
        <is>
          <t>2km</t>
        </is>
      </c>
      <c r="F11" s="8" t="inlineStr">
        <is>
          <t>2km内竞品数量</t>
        </is>
      </c>
      <c r="G11" s="8" t="inlineStr">
        <is>
          <t>家</t>
        </is>
      </c>
      <c r="H11" s="8" t="inlineStr">
        <is>
          <t>低=好</t>
        </is>
      </c>
      <c r="I11" s="8" t="inlineStr">
        <is>
          <t>反向分位数阈值法（同上）</t>
        </is>
      </c>
      <c r="J11" s="9" t="n">
        <v>7</v>
      </c>
      <c r="K11" s="9" t="n">
        <v>10</v>
      </c>
      <c r="L11" s="8" t="n"/>
      <c r="M11" s="8" t="inlineStr">
        <is>
          <t>若评分=1且D02&lt;=2可考虑淘汰</t>
        </is>
      </c>
      <c r="N11" s="8" t="inlineStr">
        <is>
          <t>郊外圈竞争更关键</t>
        </is>
      </c>
    </row>
    <row r="12">
      <c r="A12" s="8" t="inlineStr">
        <is>
          <t>C03</t>
        </is>
      </c>
      <c r="B12" s="8" t="inlineStr">
        <is>
          <t>地图</t>
        </is>
      </c>
      <c r="C12" s="8" t="inlineStr">
        <is>
          <t>竞争</t>
        </is>
      </c>
      <c r="D12" s="8" t="inlineStr">
        <is>
          <t>600m内是否存在强竞品（0/1）</t>
        </is>
      </c>
      <c r="E12" s="8" t="inlineStr">
        <is>
          <t>600m</t>
        </is>
      </c>
      <c r="F12" s="8" t="inlineStr">
        <is>
          <t>600m内强竞品(0/1)</t>
        </is>
      </c>
      <c r="G12" s="8" t="inlineStr">
        <is>
          <t>0/1</t>
        </is>
      </c>
      <c r="H12" s="8" t="inlineStr">
        <is>
          <t>低=好</t>
        </is>
      </c>
      <c r="I12" s="8" t="inlineStr">
        <is>
          <t>二值：有=1分；无=5分</t>
        </is>
      </c>
      <c r="J12" s="9" t="n">
        <v>8</v>
      </c>
      <c r="K12" s="9" t="n">
        <v>0</v>
      </c>
      <c r="L12" s="8" t="inlineStr">
        <is>
          <t>若=1则淘汰</t>
        </is>
      </c>
      <c r="M12" s="8" t="n"/>
      <c r="N12" s="8" t="inlineStr">
        <is>
          <t>强竞品：评价数高/规模大/设备新/停车强等</t>
        </is>
      </c>
    </row>
    <row r="13">
      <c r="A13" s="8" t="inlineStr">
        <is>
          <t>C04</t>
        </is>
      </c>
      <c r="B13" s="8" t="inlineStr">
        <is>
          <t>地图</t>
        </is>
      </c>
      <c r="C13" s="8" t="inlineStr">
        <is>
          <t>竞争</t>
        </is>
      </c>
      <c r="D13" s="8" t="inlineStr">
        <is>
          <t>2km内是否存在强竞品（0/1）</t>
        </is>
      </c>
      <c r="E13" s="8" t="inlineStr">
        <is>
          <t>2km</t>
        </is>
      </c>
      <c r="F13" s="8" t="inlineStr">
        <is>
          <t>2km内强竞品(0/1)</t>
        </is>
      </c>
      <c r="G13" s="8" t="inlineStr">
        <is>
          <t>0/1</t>
        </is>
      </c>
      <c r="H13" s="8" t="inlineStr">
        <is>
          <t>低=好</t>
        </is>
      </c>
      <c r="I13" s="8" t="inlineStr">
        <is>
          <t>二值：有=1分；无=5分</t>
        </is>
      </c>
      <c r="J13" s="9" t="n">
        <v>0</v>
      </c>
      <c r="K13" s="9" t="n">
        <v>8</v>
      </c>
      <c r="L13" s="8" t="n"/>
      <c r="M13" s="8" t="inlineStr">
        <is>
          <t>若=1且C02=1可淘汰</t>
        </is>
      </c>
      <c r="N13" s="8" t="inlineStr">
        <is>
          <t>强竞品+高密度组合风险</t>
        </is>
      </c>
    </row>
    <row r="14">
      <c r="A14" s="8" t="inlineStr">
        <is>
          <t>C05</t>
        </is>
      </c>
      <c r="B14" s="8" t="inlineStr">
        <is>
          <t>地理信息</t>
        </is>
      </c>
      <c r="C14" s="8" t="inlineStr">
        <is>
          <t>竞争</t>
        </is>
      </c>
      <c r="D14" s="8" t="inlineStr">
        <is>
          <t>最近竞品距离（米）</t>
        </is>
      </c>
      <c r="E14" s="8" t="inlineStr">
        <is>
          <t>-</t>
        </is>
      </c>
      <c r="F14" s="8" t="inlineStr">
        <is>
          <t>最近竞品距离(米)</t>
        </is>
      </c>
      <c r="G14" s="8" t="inlineStr">
        <is>
          <t>米</t>
        </is>
      </c>
      <c r="H14" s="8" t="inlineStr">
        <is>
          <t>高=好</t>
        </is>
      </c>
      <c r="I14" s="8" t="inlineStr">
        <is>
          <t>分位数阈值法（同上）</t>
        </is>
      </c>
      <c r="J14" s="9" t="n">
        <v>0</v>
      </c>
      <c r="K14" s="9" t="n">
        <v>4</v>
      </c>
      <c r="L14" s="8" t="n"/>
      <c r="M14" s="8" t="n"/>
      <c r="N14" s="8" t="inlineStr">
        <is>
          <t>郊外型越远越好（可选）</t>
        </is>
      </c>
    </row>
    <row r="15">
      <c r="A15" s="8" t="inlineStr">
        <is>
          <t>A01</t>
        </is>
      </c>
      <c r="B15" s="8" t="inlineStr">
        <is>
          <t>地理信息</t>
        </is>
      </c>
      <c r="C15" s="8" t="inlineStr">
        <is>
          <t>可达</t>
        </is>
      </c>
      <c r="D15" s="8" t="inlineStr">
        <is>
          <t>到最近车站距离（米）</t>
        </is>
      </c>
      <c r="E15" s="8" t="inlineStr">
        <is>
          <t>-</t>
        </is>
      </c>
      <c r="F15" s="8" t="inlineStr">
        <is>
          <t>到最近车站距离(米)</t>
        </is>
      </c>
      <c r="G15" s="8" t="inlineStr">
        <is>
          <t>米</t>
        </is>
      </c>
      <c r="H15" s="8" t="inlineStr">
        <is>
          <t>低=好</t>
        </is>
      </c>
      <c r="I15" s="8" t="inlineStr">
        <is>
          <t>反向分位数阈值法（同上）</t>
        </is>
      </c>
      <c r="J15" s="9" t="n">
        <v>8</v>
      </c>
      <c r="K15" s="9" t="n">
        <v>0</v>
      </c>
      <c r="L15" s="8" t="n"/>
      <c r="M15" s="8" t="n"/>
      <c r="N15" s="8" t="inlineStr">
        <is>
          <t>都市型更看重步行可达</t>
        </is>
      </c>
    </row>
    <row r="16">
      <c r="A16" s="8" t="inlineStr">
        <is>
          <t>A02</t>
        </is>
      </c>
      <c r="B16" s="8" t="inlineStr">
        <is>
          <t>地理信息</t>
        </is>
      </c>
      <c r="C16" s="8" t="inlineStr">
        <is>
          <t>可达</t>
        </is>
      </c>
      <c r="D16" s="8" t="inlineStr">
        <is>
          <t>到生活锚点距离（米：超市/药妆/家居）</t>
        </is>
      </c>
      <c r="E16" s="8" t="inlineStr">
        <is>
          <t>-</t>
        </is>
      </c>
      <c r="F16" s="8" t="inlineStr">
        <is>
          <t>到生活锚点距离(米)</t>
        </is>
      </c>
      <c r="G16" s="8" t="inlineStr">
        <is>
          <t>米</t>
        </is>
      </c>
      <c r="H16" s="8" t="inlineStr">
        <is>
          <t>低=好</t>
        </is>
      </c>
      <c r="I16" s="8" t="inlineStr">
        <is>
          <t>反向分位数阈值法（同上）</t>
        </is>
      </c>
      <c r="J16" s="9" t="n">
        <v>6</v>
      </c>
      <c r="K16" s="9" t="n">
        <v>5</v>
      </c>
      <c r="L16" s="8" t="n"/>
      <c r="M16" s="8" t="n"/>
      <c r="N16" s="8" t="inlineStr">
        <is>
          <t>锚点=顺路洗/等洗理由</t>
        </is>
      </c>
    </row>
    <row r="17">
      <c r="A17" s="8" t="inlineStr">
        <is>
          <t>A03</t>
        </is>
      </c>
      <c r="B17" s="8" t="inlineStr">
        <is>
          <t>地理信息</t>
        </is>
      </c>
      <c r="C17" s="8" t="inlineStr">
        <is>
          <t>可达</t>
        </is>
      </c>
      <c r="D17" s="8" t="inlineStr">
        <is>
          <t>到主干道距离（米）</t>
        </is>
      </c>
      <c r="E17" s="8" t="inlineStr">
        <is>
          <t>-</t>
        </is>
      </c>
      <c r="F17" s="8" t="inlineStr">
        <is>
          <t>到主干道距离(米)</t>
        </is>
      </c>
      <c r="G17" s="8" t="inlineStr">
        <is>
          <t>米</t>
        </is>
      </c>
      <c r="H17" s="8" t="inlineStr">
        <is>
          <t>低=好</t>
        </is>
      </c>
      <c r="I17" s="8" t="inlineStr">
        <is>
          <t>反向分位数阈值法（同上）</t>
        </is>
      </c>
      <c r="J17" s="9" t="n">
        <v>0</v>
      </c>
      <c r="K17" s="9" t="n">
        <v>8</v>
      </c>
      <c r="L17" s="8" t="n"/>
      <c r="M17" s="8" t="inlineStr">
        <is>
          <t>若评分=1可淘汰（郊外）</t>
        </is>
      </c>
      <c r="N17" s="8" t="inlineStr">
        <is>
          <t>郊外型车流可达性关键</t>
        </is>
      </c>
    </row>
    <row r="18">
      <c r="A18" s="8" t="inlineStr">
        <is>
          <t>A04</t>
        </is>
      </c>
      <c r="B18" s="8" t="inlineStr">
        <is>
          <t>地图</t>
        </is>
      </c>
      <c r="C18" s="8" t="inlineStr">
        <is>
          <t>可达</t>
        </is>
      </c>
      <c r="D18" s="8" t="inlineStr">
        <is>
          <t>300m内是否有大型地面停车锚点（0/1）</t>
        </is>
      </c>
      <c r="E18" s="8" t="inlineStr">
        <is>
          <t>300m</t>
        </is>
      </c>
      <c r="F18" s="8" t="inlineStr">
        <is>
          <t>300m内停车锚点(0/1)</t>
        </is>
      </c>
      <c r="G18" s="8" t="inlineStr">
        <is>
          <t>0/1</t>
        </is>
      </c>
      <c r="H18" s="8" t="inlineStr">
        <is>
          <t>高=好</t>
        </is>
      </c>
      <c r="I18" s="8" t="inlineStr">
        <is>
          <t>二值：有=5分；无=1分</t>
        </is>
      </c>
      <c r="J18" s="9" t="n">
        <v>0</v>
      </c>
      <c r="K18" s="9" t="n">
        <v>8</v>
      </c>
      <c r="L18" s="8" t="n"/>
      <c r="M18" s="8" t="n"/>
      <c r="N18" s="8" t="inlineStr">
        <is>
          <t>郊外停车代理（大超市/ホームセンター等）</t>
        </is>
      </c>
    </row>
    <row r="19">
      <c r="A19" s="8" t="inlineStr">
        <is>
          <t>A05</t>
        </is>
      </c>
      <c r="B19" s="8" t="inlineStr">
        <is>
          <t>地图</t>
        </is>
      </c>
      <c r="C19" s="8" t="inlineStr">
        <is>
          <t>可达</t>
        </is>
      </c>
      <c r="D19" s="8" t="inlineStr">
        <is>
          <t>可视性/沿街性评分（1-5）</t>
        </is>
      </c>
      <c r="E19" s="8" t="inlineStr">
        <is>
          <t>-</t>
        </is>
      </c>
      <c r="F19" s="8" t="inlineStr">
        <is>
          <t>可视性评分(1-5)</t>
        </is>
      </c>
      <c r="G19" s="8" t="inlineStr">
        <is>
          <t>分</t>
        </is>
      </c>
      <c r="H19" s="8" t="inlineStr">
        <is>
          <t>高=好</t>
        </is>
      </c>
      <c r="I19" s="8" t="inlineStr">
        <is>
          <t>人工评分：5=沿街显眼；1=隐藏/二楼</t>
        </is>
      </c>
      <c r="J19" s="9" t="n">
        <v>6</v>
      </c>
      <c r="K19" s="9" t="n">
        <v>4</v>
      </c>
      <c r="L19" s="8" t="n"/>
      <c r="M19" s="8" t="n"/>
      <c r="N19" s="8" t="inlineStr">
        <is>
          <t>建议前50后再打分</t>
        </is>
      </c>
    </row>
    <row r="20">
      <c r="A20" s="8" t="inlineStr">
        <is>
          <t>K01</t>
        </is>
      </c>
      <c r="B20" s="8" t="inlineStr">
        <is>
          <t>地理信息</t>
        </is>
      </c>
      <c r="C20" s="8" t="inlineStr">
        <is>
          <t>成本</t>
        </is>
      </c>
      <c r="D20" s="8" t="inlineStr">
        <is>
          <t>租金单价估计（円/坪）</t>
        </is>
      </c>
      <c r="E20" s="8" t="inlineStr">
        <is>
          <t>-</t>
        </is>
      </c>
      <c r="F20" s="8" t="inlineStr">
        <is>
          <t>坪租估计(円/坪)</t>
        </is>
      </c>
      <c r="G20" s="8" t="inlineStr">
        <is>
          <t>円/坪</t>
        </is>
      </c>
      <c r="H20" s="8" t="inlineStr">
        <is>
          <t>低=好</t>
        </is>
      </c>
      <c r="I20" s="8" t="inlineStr">
        <is>
          <t>反向分位数阈值法（同上）</t>
        </is>
      </c>
      <c r="J20" s="9" t="n">
        <v>8</v>
      </c>
      <c r="K20" s="9" t="n">
        <v>10</v>
      </c>
      <c r="L20" s="8" t="inlineStr">
        <is>
          <t>若评分=1则淘汰</t>
        </is>
      </c>
      <c r="M20" s="8" t="inlineStr">
        <is>
          <t>若评分=1则淘汰</t>
        </is>
      </c>
      <c r="N20" s="8" t="inlineStr">
        <is>
          <t>缩圈阶段可用该区物件抽样估计</t>
        </is>
      </c>
    </row>
    <row r="21" ht="15.75" customHeight="1" s="25">
      <c r="A21" s="8" t="inlineStr">
        <is>
          <t>R01</t>
        </is>
      </c>
      <c r="B21" s="8" t="inlineStr">
        <is>
          <t>地图</t>
        </is>
      </c>
      <c r="C21" s="8" t="inlineStr">
        <is>
          <t>风险</t>
        </is>
      </c>
      <c r="D21" s="8" t="inlineStr">
        <is>
          <t>商圈阻隔风险评分（1-5）</t>
        </is>
      </c>
      <c r="E21" s="8" t="inlineStr">
        <is>
          <t>600m</t>
        </is>
      </c>
      <c r="F21" s="8" t="inlineStr">
        <is>
          <t>阻隔评分(1-5)</t>
        </is>
      </c>
      <c r="G21" s="8" t="inlineStr">
        <is>
          <t>分</t>
        </is>
      </c>
      <c r="H21" s="8" t="inlineStr">
        <is>
          <t>高=好</t>
        </is>
      </c>
      <c r="I21" s="8" t="inlineStr">
        <is>
          <t>人工评分：5=无明显阻隔；1=铁路/河流切割</t>
        </is>
      </c>
      <c r="J21" s="9" t="n">
        <v>2</v>
      </c>
      <c r="K21" s="9" t="n">
        <v>2</v>
      </c>
      <c r="L21" s="8" t="n"/>
      <c r="M21" s="8" t="n"/>
      <c r="N21" s="8" t="inlineStr">
        <is>
          <t>前20线下核验更准</t>
        </is>
      </c>
    </row>
    <row r="22" ht="15.75" customHeight="1" s="25">
      <c r="A22" s="8" t="inlineStr">
        <is>
          <t>R02</t>
        </is>
      </c>
      <c r="B22" s="8" t="inlineStr">
        <is>
          <t>现场</t>
        </is>
      </c>
      <c r="C22" s="8" t="inlineStr">
        <is>
          <t>风险</t>
        </is>
      </c>
      <c r="D22" s="8" t="inlineStr">
        <is>
          <t>夜间邻避/治安风险评分（1-5）</t>
        </is>
      </c>
      <c r="E22" s="8" t="inlineStr">
        <is>
          <t>-</t>
        </is>
      </c>
      <c r="F22" s="8" t="inlineStr">
        <is>
          <t>夜间风险评分(1-5)</t>
        </is>
      </c>
      <c r="G22" s="8" t="inlineStr">
        <is>
          <t>分</t>
        </is>
      </c>
      <c r="H22" s="8" t="inlineStr">
        <is>
          <t>高=好</t>
        </is>
      </c>
      <c r="I22" s="8" t="inlineStr">
        <is>
          <t>人工评分：5=低风险</t>
        </is>
      </c>
      <c r="J22" s="9" t="n">
        <v>0</v>
      </c>
      <c r="K22" s="9" t="n">
        <v>3</v>
      </c>
      <c r="L22" s="8" t="n"/>
      <c r="M22" s="8" t="n"/>
      <c r="N22" s="8" t="inlineStr">
        <is>
          <t>缩圈可先留空；前20线下补齐</t>
        </is>
      </c>
    </row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25" min="1" max="1"/>
    <col width="18" customWidth="1" style="25" min="2" max="2"/>
    <col width="10" customWidth="1" style="25" min="3" max="3"/>
    <col width="14" customWidth="1" style="25" min="4" max="7"/>
    <col width="24" customWidth="1" style="25" min="8" max="8"/>
    <col width="8.710000000000001" customWidth="1" style="25" min="9" max="26"/>
  </cols>
  <sheetData>
    <row r="1">
      <c r="A1" s="7" t="inlineStr">
        <is>
          <t>指标ID</t>
        </is>
      </c>
      <c r="B1" s="7" t="inlineStr">
        <is>
          <t>原始列（候选点）</t>
        </is>
      </c>
      <c r="C1" s="7" t="inlineStr">
        <is>
          <t>方向</t>
        </is>
      </c>
      <c r="D1" s="7" t="inlineStr">
        <is>
          <t>80分位阈值</t>
        </is>
      </c>
      <c r="E1" s="7" t="inlineStr">
        <is>
          <t>60分位阈值</t>
        </is>
      </c>
      <c r="F1" s="7" t="inlineStr">
        <is>
          <t>40分位阈值</t>
        </is>
      </c>
      <c r="G1" s="7" t="inlineStr">
        <is>
          <t>20分位阈值</t>
        </is>
      </c>
      <c r="H1" s="7" t="inlineStr">
        <is>
          <t>备注</t>
        </is>
      </c>
    </row>
    <row r="2">
      <c r="A2" s="10" t="inlineStr">
        <is>
          <t>D01</t>
        </is>
      </c>
      <c r="B2" s="10" t="inlineStr">
        <is>
          <t>E</t>
        </is>
      </c>
      <c r="C2" s="10" t="inlineStr">
        <is>
          <t>高=好</t>
        </is>
      </c>
      <c r="D2" s="10">
        <f>IF(COUNT('候选点'!$E$5:$E$304)&lt;2,"",_xlfn.PERCENTILE.INC('候选点'!$E$5:$E$304,0.8))</f>
        <v/>
      </c>
      <c r="E2" s="10">
        <f>IF(COUNT('候选点'!$E$5:$E$304)&lt;2,"",_xlfn.PERCENTILE.INC('候选点'!$E$5:$E$304,0.6))</f>
        <v/>
      </c>
      <c r="F2" s="10">
        <f>IF(COUNT('候选点'!$E$5:$E$304)&lt;2,"",_xlfn.PERCENTILE.INC('候选点'!$E$5:$E$304,0.4))</f>
        <v/>
      </c>
      <c r="G2" s="10">
        <f>IF(COUNT('候选点'!$E$5:$E$304)&lt;2,"",_xlfn.PERCENTILE.INC('候选点'!$E$5:$E$304,0.2))</f>
        <v/>
      </c>
      <c r="H2" s="11" t="inlineStr">
        <is>
          <t>600m内户数</t>
        </is>
      </c>
    </row>
    <row r="3">
      <c r="A3" s="10" t="inlineStr">
        <is>
          <t>D02</t>
        </is>
      </c>
      <c r="B3" s="10" t="inlineStr">
        <is>
          <t>F</t>
        </is>
      </c>
      <c r="C3" s="10" t="inlineStr">
        <is>
          <t>高=好</t>
        </is>
      </c>
      <c r="D3" s="10">
        <f>IF(COUNT('候选点'!$F$5:$F$304)&lt;2,"",_xlfn.PERCENTILE.INC('候选点'!$F$5:$F$304,0.8))</f>
        <v/>
      </c>
      <c r="E3" s="10">
        <f>IF(COUNT('候选点'!$F$5:$F$304)&lt;2,"",_xlfn.PERCENTILE.INC('候选点'!$F$5:$F$304,0.6))</f>
        <v/>
      </c>
      <c r="F3" s="10">
        <f>IF(COUNT('候选点'!$F$5:$F$304)&lt;2,"",_xlfn.PERCENTILE.INC('候选点'!$F$5:$F$304,0.4))</f>
        <v/>
      </c>
      <c r="G3" s="10">
        <f>IF(COUNT('候选点'!$F$5:$F$304)&lt;2,"",_xlfn.PERCENTILE.INC('候选点'!$F$5:$F$304,0.2))</f>
        <v/>
      </c>
      <c r="H3" s="11" t="inlineStr">
        <is>
          <t>2km内户数</t>
        </is>
      </c>
    </row>
    <row r="4">
      <c r="A4" s="10" t="inlineStr">
        <is>
          <t>D03</t>
        </is>
      </c>
      <c r="B4" s="10" t="inlineStr">
        <is>
          <t>G</t>
        </is>
      </c>
      <c r="C4" s="10" t="inlineStr">
        <is>
          <t>高=好</t>
        </is>
      </c>
      <c r="D4" s="10">
        <f>IF(COUNT('候选点'!$G$5:$G$304)&lt;2,"",_xlfn.PERCENTILE.INC('候选点'!$G$5:$G$304,0.8))</f>
        <v/>
      </c>
      <c r="E4" s="10">
        <f>IF(COUNT('候选点'!$G$5:$G$304)&lt;2,"",_xlfn.PERCENTILE.INC('候选点'!$G$5:$G$304,0.6))</f>
        <v/>
      </c>
      <c r="F4" s="10">
        <f>IF(COUNT('候选点'!$G$5:$G$304)&lt;2,"",_xlfn.PERCENTILE.INC('候选点'!$G$5:$G$304,0.4))</f>
        <v/>
      </c>
      <c r="G4" s="10">
        <f>IF(COUNT('候选点'!$G$5:$G$304)&lt;2,"",_xlfn.PERCENTILE.INC('候选点'!$G$5:$G$304,0.2))</f>
        <v/>
      </c>
      <c r="H4" s="11" t="inlineStr">
        <is>
          <t>600m租赁户占比</t>
        </is>
      </c>
    </row>
    <row r="5">
      <c r="A5" s="10" t="inlineStr">
        <is>
          <t>D04</t>
        </is>
      </c>
      <c r="B5" s="10" t="inlineStr">
        <is>
          <t>H</t>
        </is>
      </c>
      <c r="C5" s="10" t="inlineStr">
        <is>
          <t>高=好</t>
        </is>
      </c>
      <c r="D5" s="10">
        <f>IF(COUNT('候选点'!$H$5:$H$304)&lt;2,"",_xlfn.PERCENTILE.INC('候选点'!$H$5:$H$304,0.8))</f>
        <v/>
      </c>
      <c r="E5" s="10">
        <f>IF(COUNT('候选点'!$H$5:$H$304)&lt;2,"",_xlfn.PERCENTILE.INC('候选点'!$H$5:$H$304,0.6))</f>
        <v/>
      </c>
      <c r="F5" s="10">
        <f>IF(COUNT('候选点'!$H$5:$H$304)&lt;2,"",_xlfn.PERCENTILE.INC('候选点'!$H$5:$H$304,0.4))</f>
        <v/>
      </c>
      <c r="G5" s="10">
        <f>IF(COUNT('候选点'!$H$5:$H$304)&lt;2,"",_xlfn.PERCENTILE.INC('候选点'!$H$5:$H$304,0.2))</f>
        <v/>
      </c>
      <c r="H5" s="11" t="inlineStr">
        <is>
          <t>2km租赁户占比</t>
        </is>
      </c>
    </row>
    <row r="6">
      <c r="A6" s="10" t="inlineStr">
        <is>
          <t>D05</t>
        </is>
      </c>
      <c r="B6" s="10" t="inlineStr">
        <is>
          <t>I</t>
        </is>
      </c>
      <c r="C6" s="10" t="inlineStr">
        <is>
          <t>高=好</t>
        </is>
      </c>
      <c r="D6" s="10">
        <f>IF(COUNT('候选点'!$I$5:$I$304)&lt;2,"",_xlfn.PERCENTILE.INC('候选点'!$I$5:$I$304,0.8))</f>
        <v/>
      </c>
      <c r="E6" s="10">
        <f>IF(COUNT('候选点'!$I$5:$I$304)&lt;2,"",_xlfn.PERCENTILE.INC('候选点'!$I$5:$I$304,0.6))</f>
        <v/>
      </c>
      <c r="F6" s="10">
        <f>IF(COUNT('候选点'!$I$5:$I$304)&lt;2,"",_xlfn.PERCENTILE.INC('候选点'!$I$5:$I$304,0.4))</f>
        <v/>
      </c>
      <c r="G6" s="10">
        <f>IF(COUNT('候选点'!$I$5:$I$304)&lt;2,"",_xlfn.PERCENTILE.INC('候选点'!$I$5:$I$304,0.2))</f>
        <v/>
      </c>
      <c r="H6" s="11" t="inlineStr">
        <is>
          <t>600m集合住宅占比</t>
        </is>
      </c>
    </row>
    <row r="7">
      <c r="A7" s="10" t="inlineStr">
        <is>
          <t>D06</t>
        </is>
      </c>
      <c r="B7" s="10" t="inlineStr">
        <is>
          <t>J</t>
        </is>
      </c>
      <c r="C7" s="10" t="inlineStr">
        <is>
          <t>高=好</t>
        </is>
      </c>
      <c r="D7" s="10">
        <f>IF(COUNT('候选点'!$J$5:$J$304)&lt;2,"",_xlfn.PERCENTILE.INC('候选点'!$J$5:$J$304,0.8))</f>
        <v/>
      </c>
      <c r="E7" s="10">
        <f>IF(COUNT('候选点'!$J$5:$J$304)&lt;2,"",_xlfn.PERCENTILE.INC('候选点'!$J$5:$J$304,0.6))</f>
        <v/>
      </c>
      <c r="F7" s="10">
        <f>IF(COUNT('候选点'!$J$5:$J$304)&lt;2,"",_xlfn.PERCENTILE.INC('候选点'!$J$5:$J$304,0.4))</f>
        <v/>
      </c>
      <c r="G7" s="10">
        <f>IF(COUNT('候选点'!$J$5:$J$304)&lt;2,"",_xlfn.PERCENTILE.INC('候选点'!$J$5:$J$304,0.2))</f>
        <v/>
      </c>
      <c r="H7" s="11" t="inlineStr">
        <is>
          <t>600m小户型占比</t>
        </is>
      </c>
    </row>
    <row r="8">
      <c r="A8" s="10" t="inlineStr">
        <is>
          <t>D07</t>
        </is>
      </c>
      <c r="B8" s="10" t="inlineStr">
        <is>
          <t>K</t>
        </is>
      </c>
      <c r="C8" s="10" t="inlineStr">
        <is>
          <t>高=好</t>
        </is>
      </c>
      <c r="D8" s="10">
        <f>IF(COUNT('候选点'!$K$5:$K$304)&lt;2,"",_xlfn.PERCENTILE.INC('候选点'!$K$5:$K$304,0.8))</f>
        <v/>
      </c>
      <c r="E8" s="10">
        <f>IF(COUNT('候选点'!$K$5:$K$304)&lt;2,"",_xlfn.PERCENTILE.INC('候选点'!$K$5:$K$304,0.6))</f>
        <v/>
      </c>
      <c r="F8" s="10">
        <f>IF(COUNT('候选点'!$K$5:$K$304)&lt;2,"",_xlfn.PERCENTILE.INC('候选点'!$K$5:$K$304,0.4))</f>
        <v/>
      </c>
      <c r="G8" s="10">
        <f>IF(COUNT('候选点'!$K$5:$K$304)&lt;2,"",_xlfn.PERCENTILE.INC('候选点'!$K$5:$K$304,0.2))</f>
        <v/>
      </c>
      <c r="H8" s="11" t="inlineStr">
        <is>
          <t>2km家庭户占比</t>
        </is>
      </c>
    </row>
    <row r="9">
      <c r="A9" s="10" t="inlineStr">
        <is>
          <t>D08</t>
        </is>
      </c>
      <c r="B9" s="10" t="inlineStr">
        <is>
          <t>L</t>
        </is>
      </c>
      <c r="C9" s="10" t="inlineStr">
        <is>
          <t>高=好</t>
        </is>
      </c>
      <c r="D9" s="10">
        <f>IF(COUNT('候选点'!$L$5:$L$304)&lt;2,"",_xlfn.PERCENTILE.INC('候选点'!$L$5:$L$304,0.8))</f>
        <v/>
      </c>
      <c r="E9" s="10">
        <f>IF(COUNT('候选点'!$L$5:$L$304)&lt;2,"",_xlfn.PERCENTILE.INC('候选点'!$L$5:$L$304,0.6))</f>
        <v/>
      </c>
      <c r="F9" s="10">
        <f>IF(COUNT('候选点'!$L$5:$L$304)&lt;2,"",_xlfn.PERCENTILE.INC('候选点'!$L$5:$L$304,0.4))</f>
        <v/>
      </c>
      <c r="G9" s="10">
        <f>IF(COUNT('候选点'!$L$5:$L$304)&lt;2,"",_xlfn.PERCENTILE.INC('候选点'!$L$5:$L$304,0.2))</f>
        <v/>
      </c>
      <c r="H9" s="11" t="inlineStr">
        <is>
          <t>人口趋势指数</t>
        </is>
      </c>
    </row>
    <row r="10">
      <c r="A10" s="10" t="inlineStr">
        <is>
          <t>C01</t>
        </is>
      </c>
      <c r="B10" s="10" t="inlineStr">
        <is>
          <t>M</t>
        </is>
      </c>
      <c r="C10" s="10" t="inlineStr">
        <is>
          <t>低=好</t>
        </is>
      </c>
      <c r="D10" s="10">
        <f>IF(COUNT('候选点'!$M$5:$M$304)&lt;2,"",_xlfn.PERCENTILE.INC('候选点'!$M$5:$M$304,0.8))</f>
        <v/>
      </c>
      <c r="E10" s="10">
        <f>IF(COUNT('候选点'!$M$5:$M$304)&lt;2,"",_xlfn.PERCENTILE.INC('候选点'!$M$5:$M$304,0.6))</f>
        <v/>
      </c>
      <c r="F10" s="10">
        <f>IF(COUNT('候选点'!$M$5:$M$304)&lt;2,"",_xlfn.PERCENTILE.INC('候选点'!$M$5:$M$304,0.4))</f>
        <v/>
      </c>
      <c r="G10" s="10">
        <f>IF(COUNT('候选点'!$M$5:$M$304)&lt;2,"",_xlfn.PERCENTILE.INC('候选点'!$M$5:$M$304,0.2))</f>
        <v/>
      </c>
      <c r="H10" s="11" t="inlineStr">
        <is>
          <t>600m竞品数量</t>
        </is>
      </c>
    </row>
    <row r="11">
      <c r="A11" s="10" t="inlineStr">
        <is>
          <t>C02</t>
        </is>
      </c>
      <c r="B11" s="10" t="inlineStr">
        <is>
          <t>N</t>
        </is>
      </c>
      <c r="C11" s="10" t="inlineStr">
        <is>
          <t>低=好</t>
        </is>
      </c>
      <c r="D11" s="10">
        <f>IF(COUNT('候选点'!$N$5:$N$304)&lt;2,"",_xlfn.PERCENTILE.INC('候选点'!$N$5:$N$304,0.8))</f>
        <v/>
      </c>
      <c r="E11" s="10">
        <f>IF(COUNT('候选点'!$N$5:$N$304)&lt;2,"",_xlfn.PERCENTILE.INC('候选点'!$N$5:$N$304,0.6))</f>
        <v/>
      </c>
      <c r="F11" s="10">
        <f>IF(COUNT('候选点'!$N$5:$N$304)&lt;2,"",_xlfn.PERCENTILE.INC('候选点'!$N$5:$N$304,0.4))</f>
        <v/>
      </c>
      <c r="G11" s="10">
        <f>IF(COUNT('候选点'!$N$5:$N$304)&lt;2,"",_xlfn.PERCENTILE.INC('候选点'!$N$5:$N$304,0.2))</f>
        <v/>
      </c>
      <c r="H11" s="11" t="inlineStr">
        <is>
          <t>2km竞品数量</t>
        </is>
      </c>
    </row>
    <row r="12">
      <c r="A12" s="10" t="inlineStr">
        <is>
          <t>C05</t>
        </is>
      </c>
      <c r="B12" s="10" t="inlineStr">
        <is>
          <t>O</t>
        </is>
      </c>
      <c r="C12" s="10" t="inlineStr">
        <is>
          <t>高=好</t>
        </is>
      </c>
      <c r="D12" s="10">
        <f>IF(COUNT('候选点'!$O$5:$O$304)&lt;2,"",_xlfn.PERCENTILE.INC('候选点'!$O$5:$O$304,0.8))</f>
        <v/>
      </c>
      <c r="E12" s="10">
        <f>IF(COUNT('候选点'!$O$5:$O$304)&lt;2,"",_xlfn.PERCENTILE.INC('候选点'!$O$5:$O$304,0.6))</f>
        <v/>
      </c>
      <c r="F12" s="10">
        <f>IF(COUNT('候选点'!$O$5:$O$304)&lt;2,"",_xlfn.PERCENTILE.INC('候选点'!$O$5:$O$304,0.4))</f>
        <v/>
      </c>
      <c r="G12" s="10">
        <f>IF(COUNT('候选点'!$O$5:$O$304)&lt;2,"",_xlfn.PERCENTILE.INC('候选点'!$O$5:$O$304,0.2))</f>
        <v/>
      </c>
      <c r="H12" s="11" t="inlineStr">
        <is>
          <t>最近竞品距离</t>
        </is>
      </c>
    </row>
    <row r="13">
      <c r="A13" s="10" t="inlineStr">
        <is>
          <t>A01</t>
        </is>
      </c>
      <c r="B13" s="10" t="inlineStr">
        <is>
          <t>R</t>
        </is>
      </c>
      <c r="C13" s="10" t="inlineStr">
        <is>
          <t>低=好</t>
        </is>
      </c>
      <c r="D13" s="10">
        <f>IF(COUNT('候选点'!$R$5:$R$304)&lt;2,"",_xlfn.PERCENTILE.INC('候选点'!$R$5:$R$304,0.8))</f>
        <v/>
      </c>
      <c r="E13" s="10">
        <f>IF(COUNT('候选点'!$R$5:$R$304)&lt;2,"",_xlfn.PERCENTILE.INC('候选点'!$R$5:$R$304,0.6))</f>
        <v/>
      </c>
      <c r="F13" s="10">
        <f>IF(COUNT('候选点'!$R$5:$R$304)&lt;2,"",_xlfn.PERCENTILE.INC('候选点'!$R$5:$R$304,0.4))</f>
        <v/>
      </c>
      <c r="G13" s="10">
        <f>IF(COUNT('候选点'!$R$5:$R$304)&lt;2,"",_xlfn.PERCENTILE.INC('候选点'!$R$5:$R$304,0.2))</f>
        <v/>
      </c>
      <c r="H13" s="11" t="inlineStr">
        <is>
          <t>到车站距离</t>
        </is>
      </c>
    </row>
    <row r="14">
      <c r="A14" s="10" t="inlineStr">
        <is>
          <t>A02</t>
        </is>
      </c>
      <c r="B14" s="10" t="inlineStr">
        <is>
          <t>S</t>
        </is>
      </c>
      <c r="C14" s="10" t="inlineStr">
        <is>
          <t>低=好</t>
        </is>
      </c>
      <c r="D14" s="10">
        <f>IF(COUNT('候选点'!$S$5:$S$304)&lt;2,"",_xlfn.PERCENTILE.INC('候选点'!$S$5:$S$304,0.8))</f>
        <v/>
      </c>
      <c r="E14" s="10">
        <f>IF(COUNT('候选点'!$S$5:$S$304)&lt;2,"",_xlfn.PERCENTILE.INC('候选点'!$S$5:$S$304,0.6))</f>
        <v/>
      </c>
      <c r="F14" s="10">
        <f>IF(COUNT('候选点'!$S$5:$S$304)&lt;2,"",_xlfn.PERCENTILE.INC('候选点'!$S$5:$S$304,0.4))</f>
        <v/>
      </c>
      <c r="G14" s="10">
        <f>IF(COUNT('候选点'!$S$5:$S$304)&lt;2,"",_xlfn.PERCENTILE.INC('候选点'!$S$5:$S$304,0.2))</f>
        <v/>
      </c>
      <c r="H14" s="11" t="inlineStr">
        <is>
          <t>到生活锚点距离</t>
        </is>
      </c>
    </row>
    <row r="15">
      <c r="A15" s="10" t="inlineStr">
        <is>
          <t>A03</t>
        </is>
      </c>
      <c r="B15" s="10" t="inlineStr">
        <is>
          <t>T</t>
        </is>
      </c>
      <c r="C15" s="10" t="inlineStr">
        <is>
          <t>低=好</t>
        </is>
      </c>
      <c r="D15" s="10">
        <f>IF(COUNT('候选点'!$T$5:$T$304)&lt;2,"",_xlfn.PERCENTILE.INC('候选点'!$T$5:$T$304,0.8))</f>
        <v/>
      </c>
      <c r="E15" s="10">
        <f>IF(COUNT('候选点'!$T$5:$T$304)&lt;2,"",_xlfn.PERCENTILE.INC('候选点'!$T$5:$T$304,0.6))</f>
        <v/>
      </c>
      <c r="F15" s="10">
        <f>IF(COUNT('候选点'!$T$5:$T$304)&lt;2,"",_xlfn.PERCENTILE.INC('候选点'!$T$5:$T$304,0.4))</f>
        <v/>
      </c>
      <c r="G15" s="10">
        <f>IF(COUNT('候选点'!$T$5:$T$304)&lt;2,"",_xlfn.PERCENTILE.INC('候选点'!$T$5:$T$304,0.2))</f>
        <v/>
      </c>
      <c r="H15" s="11" t="inlineStr">
        <is>
          <t>到主干道距离</t>
        </is>
      </c>
    </row>
    <row r="16">
      <c r="A16" s="10" t="inlineStr">
        <is>
          <t>K01</t>
        </is>
      </c>
      <c r="B16" s="10" t="inlineStr">
        <is>
          <t>W</t>
        </is>
      </c>
      <c r="C16" s="10" t="inlineStr">
        <is>
          <t>低=好</t>
        </is>
      </c>
      <c r="D16" s="10">
        <f>IF(COUNT('候选点'!$W$5:$W$304)&lt;2,"",_xlfn.PERCENTILE.INC('候选点'!$W$5:$W$304,0.8))</f>
        <v/>
      </c>
      <c r="E16" s="10">
        <f>IF(COUNT('候选点'!$W$5:$W$304)&lt;2,"",_xlfn.PERCENTILE.INC('候选点'!$W$5:$W$304,0.6))</f>
        <v/>
      </c>
      <c r="F16" s="10">
        <f>IF(COUNT('候选点'!$W$5:$W$304)&lt;2,"",_xlfn.PERCENTILE.INC('候选点'!$W$5:$W$304,0.4))</f>
        <v/>
      </c>
      <c r="G16" s="10">
        <f>IF(COUNT('候选点'!$W$5:$W$304)&lt;2,"",_xlfn.PERCENTILE.INC('候选点'!$W$5:$W$304,0.2))</f>
        <v/>
      </c>
      <c r="H16" s="11" t="inlineStr">
        <is>
          <t>坪租估计</t>
        </is>
      </c>
    </row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04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25" min="1" max="1"/>
    <col width="18" customWidth="1" style="25" min="2" max="2"/>
    <col width="10" customWidth="1" style="25" min="3" max="4"/>
    <col width="12" customWidth="1" style="25" min="5" max="6"/>
    <col width="14" customWidth="1" style="25" min="7" max="11"/>
    <col width="12" customWidth="1" style="25" min="12" max="14"/>
    <col width="14" customWidth="1" style="25" min="15" max="18"/>
    <col width="16" customWidth="1" style="25" min="19" max="19"/>
    <col width="14" customWidth="1" style="25" min="20" max="22"/>
    <col width="12" customWidth="1" style="25" min="23" max="25"/>
    <col width="10" customWidth="1" style="25" min="26" max="46"/>
    <col width="12" customWidth="1" style="25" min="47" max="48"/>
    <col width="16" customWidth="1" style="25" min="49" max="50"/>
  </cols>
  <sheetData>
    <row r="1">
      <c r="A1" s="7" t="inlineStr">
        <is>
          <t>编号</t>
        </is>
      </c>
      <c r="B1" s="7" t="inlineStr">
        <is>
          <t>区域名称</t>
        </is>
      </c>
      <c r="C1" s="7" t="inlineStr">
        <is>
          <t>纬度</t>
        </is>
      </c>
      <c r="D1" s="7" t="inlineStr">
        <is>
          <t>经度</t>
        </is>
      </c>
      <c r="E1" s="7" t="inlineStr">
        <is>
          <t>600m内户数</t>
        </is>
      </c>
      <c r="F1" s="7" t="inlineStr">
        <is>
          <t>2km内户数</t>
        </is>
      </c>
      <c r="G1" s="7" t="inlineStr">
        <is>
          <t>600m内租赁户占比</t>
        </is>
      </c>
      <c r="H1" s="7" t="inlineStr">
        <is>
          <t>2km内租赁户占比</t>
        </is>
      </c>
      <c r="I1" s="7" t="inlineStr">
        <is>
          <t>600m内集合住宅占比</t>
        </is>
      </c>
      <c r="J1" s="7" t="inlineStr">
        <is>
          <t>600m内小户型占比</t>
        </is>
      </c>
      <c r="K1" s="7" t="inlineStr">
        <is>
          <t>2km内家庭户占比</t>
        </is>
      </c>
      <c r="L1" s="7" t="inlineStr">
        <is>
          <t>人口趋势指数</t>
        </is>
      </c>
      <c r="M1" s="7" t="inlineStr">
        <is>
          <t>600m内竞品数量</t>
        </is>
      </c>
      <c r="N1" s="7" t="inlineStr">
        <is>
          <t>2km内竞品数量</t>
        </is>
      </c>
      <c r="O1" s="7" t="inlineStr">
        <is>
          <t>最近竞品距离(米)</t>
        </is>
      </c>
      <c r="P1" s="7" t="inlineStr">
        <is>
          <t>600m内强竞品(0/1)</t>
        </is>
      </c>
      <c r="Q1" s="7" t="inlineStr">
        <is>
          <t>2km内强竞品(0/1)</t>
        </is>
      </c>
      <c r="R1" s="7" t="inlineStr">
        <is>
          <t>到最近车站距离(米)</t>
        </is>
      </c>
      <c r="S1" s="7" t="inlineStr">
        <is>
          <t>到生活锚点距离(米)</t>
        </is>
      </c>
      <c r="T1" s="7" t="inlineStr">
        <is>
          <t>到主干道距离(米)</t>
        </is>
      </c>
      <c r="U1" s="7" t="inlineStr">
        <is>
          <t>300m内停车锚点(0/1)</t>
        </is>
      </c>
      <c r="V1" s="7" t="inlineStr">
        <is>
          <t>可视性评分(1-5)</t>
        </is>
      </c>
      <c r="W1" s="7" t="inlineStr">
        <is>
          <t>坪租估计(円/坪)</t>
        </is>
      </c>
      <c r="X1" s="7" t="inlineStr">
        <is>
          <t>阻隔评分(1-5)</t>
        </is>
      </c>
      <c r="Y1" s="7" t="inlineStr">
        <is>
          <t>夜间风险评分(1-5)</t>
        </is>
      </c>
      <c r="Z1" s="7" t="inlineStr">
        <is>
          <t>评分_D01</t>
        </is>
      </c>
      <c r="AA1" s="7" t="inlineStr">
        <is>
          <t>评分_D02</t>
        </is>
      </c>
      <c r="AB1" s="7" t="inlineStr">
        <is>
          <t>评分_D03</t>
        </is>
      </c>
      <c r="AC1" s="7" t="inlineStr">
        <is>
          <t>评分_D04</t>
        </is>
      </c>
      <c r="AD1" s="7" t="inlineStr">
        <is>
          <t>评分_D05</t>
        </is>
      </c>
      <c r="AE1" s="7" t="inlineStr">
        <is>
          <t>评分_D06</t>
        </is>
      </c>
      <c r="AF1" s="7" t="inlineStr">
        <is>
          <t>评分_D07</t>
        </is>
      </c>
      <c r="AG1" s="7" t="inlineStr">
        <is>
          <t>评分_D08</t>
        </is>
      </c>
      <c r="AH1" s="7" t="inlineStr">
        <is>
          <t>评分_C01</t>
        </is>
      </c>
      <c r="AI1" s="7" t="inlineStr">
        <is>
          <t>评分_C02</t>
        </is>
      </c>
      <c r="AJ1" s="7" t="inlineStr">
        <is>
          <t>评分_C03</t>
        </is>
      </c>
      <c r="AK1" s="7" t="inlineStr">
        <is>
          <t>评分_C04</t>
        </is>
      </c>
      <c r="AL1" s="7" t="inlineStr">
        <is>
          <t>评分_C05</t>
        </is>
      </c>
      <c r="AM1" s="7" t="inlineStr">
        <is>
          <t>评分_A01</t>
        </is>
      </c>
      <c r="AN1" s="7" t="inlineStr">
        <is>
          <t>评分_A02</t>
        </is>
      </c>
      <c r="AO1" s="7" t="inlineStr">
        <is>
          <t>评分_A03</t>
        </is>
      </c>
      <c r="AP1" s="7" t="inlineStr">
        <is>
          <t>评分_A04</t>
        </is>
      </c>
      <c r="AQ1" s="7" t="inlineStr">
        <is>
          <t>评分_A05</t>
        </is>
      </c>
      <c r="AR1" s="7" t="inlineStr">
        <is>
          <t>评分_K01</t>
        </is>
      </c>
      <c r="AS1" s="7" t="inlineStr">
        <is>
          <t>评分_R01</t>
        </is>
      </c>
      <c r="AT1" s="7" t="inlineStr">
        <is>
          <t>评分_R02</t>
        </is>
      </c>
      <c r="AU1" s="12" t="inlineStr">
        <is>
          <t>都市型一票否决</t>
        </is>
      </c>
      <c r="AV1" s="12" t="inlineStr">
        <is>
          <t>郊外型一票否决</t>
        </is>
      </c>
      <c r="AW1" s="13" t="inlineStr">
        <is>
          <t>都市型总分(0-100)</t>
        </is>
      </c>
      <c r="AX1" s="13" t="inlineStr">
        <is>
          <t>郊外型总分(0-100)</t>
        </is>
      </c>
    </row>
    <row r="2">
      <c r="A2" s="14" t="inlineStr">
        <is>
          <t>权重_都市型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>
        <f>IFERROR(VLOOKUP(SUBSTITUTE(Z$1,"评分_",""),'指标字典'!$A$2:$K$22,10,FALSE),0)</f>
        <v/>
      </c>
      <c r="AA2" s="15">
        <f>IFERROR(VLOOKUP(SUBSTITUTE(AA$1,"评分_",""),'指标字典'!$A$2:$K$22,10,FALSE),0)</f>
        <v/>
      </c>
      <c r="AB2" s="15">
        <f>IFERROR(VLOOKUP(SUBSTITUTE(AB$1,"评分_",""),'指标字典'!$A$2:$K$22,10,FALSE),0)</f>
        <v/>
      </c>
      <c r="AC2" s="15">
        <f>IFERROR(VLOOKUP(SUBSTITUTE(AC$1,"评分_",""),'指标字典'!$A$2:$K$22,10,FALSE),0)</f>
        <v/>
      </c>
      <c r="AD2" s="15">
        <f>IFERROR(VLOOKUP(SUBSTITUTE(AD$1,"评分_",""),'指标字典'!$A$2:$K$22,10,FALSE),0)</f>
        <v/>
      </c>
      <c r="AE2" s="15">
        <f>IFERROR(VLOOKUP(SUBSTITUTE(AE$1,"评分_",""),'指标字典'!$A$2:$K$22,10,FALSE),0)</f>
        <v/>
      </c>
      <c r="AF2" s="15">
        <f>IFERROR(VLOOKUP(SUBSTITUTE(AF$1,"评分_",""),'指标字典'!$A$2:$K$22,10,FALSE),0)</f>
        <v/>
      </c>
      <c r="AG2" s="15">
        <f>IFERROR(VLOOKUP(SUBSTITUTE(AG$1,"评分_",""),'指标字典'!$A$2:$K$22,10,FALSE),0)</f>
        <v/>
      </c>
      <c r="AH2" s="15">
        <f>IFERROR(VLOOKUP(SUBSTITUTE(AH$1,"评分_",""),'指标字典'!$A$2:$K$22,10,FALSE),0)</f>
        <v/>
      </c>
      <c r="AI2" s="15">
        <f>IFERROR(VLOOKUP(SUBSTITUTE(AI$1,"评分_",""),'指标字典'!$A$2:$K$22,10,FALSE),0)</f>
        <v/>
      </c>
      <c r="AJ2" s="15">
        <f>IFERROR(VLOOKUP(SUBSTITUTE(AJ$1,"评分_",""),'指标字典'!$A$2:$K$22,10,FALSE),0)</f>
        <v/>
      </c>
      <c r="AK2" s="15">
        <f>IFERROR(VLOOKUP(SUBSTITUTE(AK$1,"评分_",""),'指标字典'!$A$2:$K$22,10,FALSE),0)</f>
        <v/>
      </c>
      <c r="AL2" s="15">
        <f>IFERROR(VLOOKUP(SUBSTITUTE(AL$1,"评分_",""),'指标字典'!$A$2:$K$22,10,FALSE),0)</f>
        <v/>
      </c>
      <c r="AM2" s="15">
        <f>IFERROR(VLOOKUP(SUBSTITUTE(AM$1,"评分_",""),'指标字典'!$A$2:$K$22,10,FALSE),0)</f>
        <v/>
      </c>
      <c r="AN2" s="15">
        <f>IFERROR(VLOOKUP(SUBSTITUTE(AN$1,"评分_",""),'指标字典'!$A$2:$K$22,10,FALSE),0)</f>
        <v/>
      </c>
      <c r="AO2" s="15">
        <f>IFERROR(VLOOKUP(SUBSTITUTE(AO$1,"评分_",""),'指标字典'!$A$2:$K$22,10,FALSE),0)</f>
        <v/>
      </c>
      <c r="AP2" s="15">
        <f>IFERROR(VLOOKUP(SUBSTITUTE(AP$1,"评分_",""),'指标字典'!$A$2:$K$22,10,FALSE),0)</f>
        <v/>
      </c>
      <c r="AQ2" s="15">
        <f>IFERROR(VLOOKUP(SUBSTITUTE(AQ$1,"评分_",""),'指标字典'!$A$2:$K$22,10,FALSE),0)</f>
        <v/>
      </c>
      <c r="AR2" s="15">
        <f>IFERROR(VLOOKUP(SUBSTITUTE(AR$1,"评分_",""),'指标字典'!$A$2:$K$22,10,FALSE),0)</f>
        <v/>
      </c>
      <c r="AS2" s="15">
        <f>IFERROR(VLOOKUP(SUBSTITUTE(AS$1,"评分_",""),'指标字典'!$A$2:$K$22,10,FALSE),0)</f>
        <v/>
      </c>
      <c r="AT2" s="15">
        <f>IFERROR(VLOOKUP(SUBSTITUTE(AT$1,"评分_",""),'指标字典'!$A$2:$K$22,10,FALSE),0)</f>
        <v/>
      </c>
      <c r="AU2" s="15" t="n"/>
      <c r="AV2" s="15" t="n"/>
      <c r="AW2" s="15" t="n"/>
      <c r="AX2" s="15" t="n"/>
    </row>
    <row r="3">
      <c r="A3" s="14" t="inlineStr">
        <is>
          <t>权重_郊外型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>
        <f>IFERROR(VLOOKUP(SUBSTITUTE(Z$1,"评分_",""),'指标字典'!$A$2:$K$22,11,FALSE),0)</f>
        <v/>
      </c>
      <c r="AA3" s="15">
        <f>IFERROR(VLOOKUP(SUBSTITUTE(AA$1,"评分_",""),'指标字典'!$A$2:$K$22,11,FALSE),0)</f>
        <v/>
      </c>
      <c r="AB3" s="15">
        <f>IFERROR(VLOOKUP(SUBSTITUTE(AB$1,"评分_",""),'指标字典'!$A$2:$K$22,11,FALSE),0)</f>
        <v/>
      </c>
      <c r="AC3" s="15">
        <f>IFERROR(VLOOKUP(SUBSTITUTE(AC$1,"评分_",""),'指标字典'!$A$2:$K$22,11,FALSE),0)</f>
        <v/>
      </c>
      <c r="AD3" s="15">
        <f>IFERROR(VLOOKUP(SUBSTITUTE(AD$1,"评分_",""),'指标字典'!$A$2:$K$22,11,FALSE),0)</f>
        <v/>
      </c>
      <c r="AE3" s="15">
        <f>IFERROR(VLOOKUP(SUBSTITUTE(AE$1,"评分_",""),'指标字典'!$A$2:$K$22,11,FALSE),0)</f>
        <v/>
      </c>
      <c r="AF3" s="15">
        <f>IFERROR(VLOOKUP(SUBSTITUTE(AF$1,"评分_",""),'指标字典'!$A$2:$K$22,11,FALSE),0)</f>
        <v/>
      </c>
      <c r="AG3" s="15">
        <f>IFERROR(VLOOKUP(SUBSTITUTE(AG$1,"评分_",""),'指标字典'!$A$2:$K$22,11,FALSE),0)</f>
        <v/>
      </c>
      <c r="AH3" s="15">
        <f>IFERROR(VLOOKUP(SUBSTITUTE(AH$1,"评分_",""),'指标字典'!$A$2:$K$22,11,FALSE),0)</f>
        <v/>
      </c>
      <c r="AI3" s="15">
        <f>IFERROR(VLOOKUP(SUBSTITUTE(AI$1,"评分_",""),'指标字典'!$A$2:$K$22,11,FALSE),0)</f>
        <v/>
      </c>
      <c r="AJ3" s="15">
        <f>IFERROR(VLOOKUP(SUBSTITUTE(AJ$1,"评分_",""),'指标字典'!$A$2:$K$22,11,FALSE),0)</f>
        <v/>
      </c>
      <c r="AK3" s="15">
        <f>IFERROR(VLOOKUP(SUBSTITUTE(AK$1,"评分_",""),'指标字典'!$A$2:$K$22,11,FALSE),0)</f>
        <v/>
      </c>
      <c r="AL3" s="15">
        <f>IFERROR(VLOOKUP(SUBSTITUTE(AL$1,"评分_",""),'指标字典'!$A$2:$K$22,11,FALSE),0)</f>
        <v/>
      </c>
      <c r="AM3" s="15">
        <f>IFERROR(VLOOKUP(SUBSTITUTE(AM$1,"评分_",""),'指标字典'!$A$2:$K$22,11,FALSE),0)</f>
        <v/>
      </c>
      <c r="AN3" s="15">
        <f>IFERROR(VLOOKUP(SUBSTITUTE(AN$1,"评分_",""),'指标字典'!$A$2:$K$22,11,FALSE),0)</f>
        <v/>
      </c>
      <c r="AO3" s="15">
        <f>IFERROR(VLOOKUP(SUBSTITUTE(AO$1,"评分_",""),'指标字典'!$A$2:$K$22,11,FALSE),0)</f>
        <v/>
      </c>
      <c r="AP3" s="15">
        <f>IFERROR(VLOOKUP(SUBSTITUTE(AP$1,"评分_",""),'指标字典'!$A$2:$K$22,11,FALSE),0)</f>
        <v/>
      </c>
      <c r="AQ3" s="15">
        <f>IFERROR(VLOOKUP(SUBSTITUTE(AQ$1,"评分_",""),'指标字典'!$A$2:$K$22,11,FALSE),0)</f>
        <v/>
      </c>
      <c r="AR3" s="15">
        <f>IFERROR(VLOOKUP(SUBSTITUTE(AR$1,"评分_",""),'指标字典'!$A$2:$K$22,11,FALSE),0)</f>
        <v/>
      </c>
      <c r="AS3" s="15">
        <f>IFERROR(VLOOKUP(SUBSTITUTE(AS$1,"评分_",""),'指标字典'!$A$2:$K$22,11,FALSE),0)</f>
        <v/>
      </c>
      <c r="AT3" s="15">
        <f>IFERROR(VLOOKUP(SUBSTITUTE(AT$1,"评分_",""),'指标字典'!$A$2:$K$22,11,FALSE),0)</f>
        <v/>
      </c>
      <c r="AU3" s="15" t="n"/>
      <c r="AV3" s="15" t="n"/>
      <c r="AW3" s="15" t="n"/>
      <c r="AX3" s="15" t="n"/>
    </row>
    <row r="4">
      <c r="A4" s="26" t="inlineStr">
        <is>
          <t>从第5行开始填数据（公式预置到第204行；需要更多行请向下填充）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7" t="n"/>
      <c r="AN4" s="27" t="n"/>
      <c r="AO4" s="27" t="n"/>
      <c r="AP4" s="27" t="n"/>
      <c r="AQ4" s="27" t="n"/>
      <c r="AR4" s="27" t="n"/>
      <c r="AS4" s="27" t="n"/>
      <c r="AT4" s="27" t="n"/>
      <c r="AU4" s="27" t="n"/>
      <c r="AV4" s="27" t="n"/>
      <c r="AW4" s="27" t="n"/>
      <c r="AX4" s="28" t="n"/>
    </row>
    <row r="5">
      <c r="A5" s="22" t="inlineStr">
        <is>
          <t>OSK001</t>
        </is>
      </c>
      <c r="B5" s="20" t="inlineStr">
        <is>
          <t>大阪府大阪市中央区高津一丁目</t>
        </is>
      </c>
      <c r="C5" s="22" t="n">
        <v>34.667476</v>
      </c>
      <c r="D5" s="22" t="n">
        <v>135.513617</v>
      </c>
      <c r="E5" s="22" t="n">
        <v>18755</v>
      </c>
      <c r="F5" s="22" t="n">
        <v>122001</v>
      </c>
      <c r="G5" s="21" t="n">
        <v>0.705</v>
      </c>
      <c r="H5" s="21" t="n">
        <v>0.6446</v>
      </c>
      <c r="I5" s="21" t="n">
        <v>0.9457</v>
      </c>
      <c r="J5" s="21" t="n">
        <v>0.8515</v>
      </c>
      <c r="K5" s="21" t="n">
        <v>0.1914</v>
      </c>
      <c r="L5" s="22" t="n">
        <v>2.7</v>
      </c>
      <c r="M5" s="22" t="n">
        <v>5</v>
      </c>
      <c r="N5" s="22" t="n">
        <v>15</v>
      </c>
      <c r="O5" s="22" t="n">
        <v>128</v>
      </c>
      <c r="P5" s="22" t="n">
        <v>0</v>
      </c>
      <c r="Q5" s="22" t="n">
        <v>1</v>
      </c>
      <c r="R5" s="22" t="n">
        <v>134</v>
      </c>
      <c r="S5" s="22" t="n">
        <v>334</v>
      </c>
      <c r="T5" s="22" t="n">
        <v>159</v>
      </c>
      <c r="U5" s="22" t="n">
        <v>0</v>
      </c>
      <c r="V5" s="22" t="n">
        <v>4</v>
      </c>
      <c r="W5" s="22" t="n">
        <v>38760</v>
      </c>
      <c r="X5" s="22" t="n">
        <v>2</v>
      </c>
      <c r="Y5" s="22" t="n">
        <v>4</v>
      </c>
      <c r="Z5" s="23">
        <f>IF(E5="","",IF('分位数阈值'!$D$2="","",IFS(E5&gt;='分位数阈值'!$D$2,5,E5&gt;='分位数阈值'!$E$2,4,E5&gt;='分位数阈值'!$F$2,3,E5&gt;='分位数阈值'!$G$2,2,TRUE,1)))</f>
        <v/>
      </c>
      <c r="AA5" s="23">
        <f>IF(F5="","",IF('分位数阈值'!$D$3="","",IFS(F5&gt;='分位数阈值'!$D$3,5,F5&gt;='分位数阈值'!$E$3,4,F5&gt;='分位数阈值'!$F$3,3,F5&gt;='分位数阈值'!$G$3,2,TRUE,1)))</f>
        <v/>
      </c>
      <c r="AB5" s="23">
        <f>IF(G5="","",IF('分位数阈值'!$D$4="","",IFS(G5&gt;='分位数阈值'!$D$4,5,G5&gt;='分位数阈值'!$E$4,4,G5&gt;='分位数阈值'!$F$4,3,G5&gt;='分位数阈值'!$G$4,2,TRUE,1)))</f>
        <v/>
      </c>
      <c r="AC5" s="23">
        <f>IF(H5="","",IF('分位数阈值'!$D$5="","",IFS(H5&gt;='分位数阈值'!$D$5,5,H5&gt;='分位数阈值'!$E$5,4,H5&gt;='分位数阈值'!$F$5,3,H5&gt;='分位数阈值'!$G$5,2,TRUE,1)))</f>
        <v/>
      </c>
      <c r="AD5" s="23">
        <f>IF(I5="","",IF('分位数阈值'!$D$6="","",IFS(I5&gt;='分位数阈值'!$D$6,5,I5&gt;='分位数阈值'!$E$6,4,I5&gt;='分位数阈值'!$F$6,3,I5&gt;='分位数阈值'!$G$6,2,TRUE,1)))</f>
        <v/>
      </c>
      <c r="AE5" s="23">
        <f>IF(J5="","",IF('分位数阈值'!$D$7="","",IFS(J5&gt;='分位数阈值'!$D$7,5,J5&gt;='分位数阈值'!$E$7,4,J5&gt;='分位数阈值'!$F$7,3,J5&gt;='分位数阈值'!$G$7,2,TRUE,1)))</f>
        <v/>
      </c>
      <c r="AF5" s="23">
        <f>IF(K5="","",IF('分位数阈值'!$D$8="","",IFS(K5&gt;='分位数阈值'!$D$8,5,K5&gt;='分位数阈值'!$E$8,4,K5&gt;='分位数阈值'!$F$8,3,K5&gt;='分位数阈值'!$G$8,2,TRUE,1)))</f>
        <v/>
      </c>
      <c r="AG5" s="23">
        <f>IF(L5="","",IF('分位数阈值'!$D$9="","",IFS(L5&gt;='分位数阈值'!$D$9,5,L5&gt;='分位数阈值'!$E$9,4,L5&gt;='分位数阈值'!$F$9,3,L5&gt;='分位数阈值'!$G$9,2,TRUE,1)))</f>
        <v/>
      </c>
      <c r="AH5" s="23">
        <f>IF(M5="","",IF('分位数阈值'!$D$10="","",IFS(M5&lt;='分位数阈值'!$G$10,5,M5&lt;='分位数阈值'!$F$10,4,M5&lt;='分位数阈值'!$E$10,3,M5&lt;='分位数阈值'!$D$10,2,TRUE,1)))</f>
        <v/>
      </c>
      <c r="AI5" s="23">
        <f>IF(N5="","",IF('分位数阈值'!$D$11="","",IFS(N5&lt;='分位数阈值'!$G$11,5,N5&lt;='分位数阈值'!$F$11,4,N5&lt;='分位数阈值'!$E$11,3,N5&lt;='分位数阈值'!$D$11,2,TRUE,1)))</f>
        <v/>
      </c>
      <c r="AJ5" s="23">
        <f>IF(P5="","",IF(P5=1,1,5))</f>
        <v/>
      </c>
      <c r="AK5" s="23">
        <f>IF(Q5="","",IF(Q5=1,1,5))</f>
        <v/>
      </c>
      <c r="AL5" s="23">
        <f>IF(O5="","",IF('分位数阈值'!$D$12="","",IFS(O5&gt;='分位数阈值'!$D$12,5,O5&gt;='分位数阈值'!$E$12,4,O5&gt;='分位数阈值'!$F$12,3,O5&gt;='分位数阈值'!$G$12,2,TRUE,1)))</f>
        <v/>
      </c>
      <c r="AM5" s="23">
        <f>IF(R5="","",IF('分位数阈值'!$D$13="","",IFS(R5&lt;='分位数阈值'!$G$13,5,R5&lt;='分位数阈值'!$F$13,4,R5&lt;='分位数阈值'!$E$13,3,R5&lt;='分位数阈值'!$D$13,2,TRUE,1)))</f>
        <v/>
      </c>
      <c r="AN5" s="23">
        <f>IF(S5="","",IF('分位数阈值'!$D$14="","",IFS(S5&lt;='分位数阈值'!$G$14,5,S5&lt;='分位数阈值'!$F$14,4,S5&lt;='分位数阈值'!$E$14,3,S5&lt;='分位数阈值'!$D$14,2,TRUE,1)))</f>
        <v/>
      </c>
      <c r="AO5" s="23">
        <f>IF(T5="","",IF('分位数阈值'!$D$15="","",IFS(T5&lt;='分位数阈值'!$G$15,5,T5&lt;='分位数阈值'!$F$15,4,T5&lt;='分位数阈值'!$E$15,3,T5&lt;='分位数阈值'!$D$15,2,TRUE,1)))</f>
        <v/>
      </c>
      <c r="AP5" s="23">
        <f>IF(U5="","",IF(U5=1,5,1))</f>
        <v/>
      </c>
      <c r="AQ5" s="23">
        <f>IF(V5="","",V5)</f>
        <v/>
      </c>
      <c r="AR5" s="23">
        <f>IF(W5="","",IF('分位数阈值'!$D$16="","",IFS(W5&lt;='分位数阈值'!$G$16,5,W5&lt;='分位数阈值'!$F$16,4,W5&lt;='分位数阈值'!$E$16,3,W5&lt;='分位数阈值'!$D$16,2,TRUE,1)))</f>
        <v/>
      </c>
      <c r="AS5" s="23">
        <f>IF(X5="","",X5)</f>
        <v/>
      </c>
      <c r="AT5" s="23">
        <f>IF(Y5="","",Y5)</f>
        <v/>
      </c>
      <c r="AU5" s="10">
        <f>IF($A5="","",IF(OR(Z5=1,AR5=1,AJ5=1),"淘汰","通过"))</f>
        <v/>
      </c>
      <c r="AV5" s="10">
        <f>IF($A5="","",IF(OR(AA5=1,AR5=1,AND(AK5=1,AI5=1),AO5=1),"淘汰","通过"))</f>
        <v/>
      </c>
      <c r="AW5" s="24">
        <f>IF($A5="","",IF(AU5="淘汰","",ROUND(SUMPRODUCT(Z5:AT5,Z$2:AT$2)/5,1)))</f>
        <v/>
      </c>
      <c r="AX5" s="24">
        <f>IF($A5="","",IF(AV5="淘汰","",ROUND(SUMPRODUCT(Z5:AT5,Z$3:AT$3)/5,1)))</f>
        <v/>
      </c>
    </row>
    <row r="6">
      <c r="A6" s="22" t="inlineStr">
        <is>
          <t>OSK002</t>
        </is>
      </c>
      <c r="B6" s="20" t="inlineStr">
        <is>
          <t>大阪府大阪市北区梅田三丁目</t>
        </is>
      </c>
      <c r="C6" s="22" t="n">
        <v>34.700992</v>
      </c>
      <c r="D6" s="22" t="n">
        <v>135.495359</v>
      </c>
      <c r="E6" s="22" t="n">
        <v>14399</v>
      </c>
      <c r="F6" s="22" t="n">
        <v>196577</v>
      </c>
      <c r="G6" s="21" t="n">
        <v>0.7173</v>
      </c>
      <c r="H6" s="21" t="n">
        <v>0.6185</v>
      </c>
      <c r="I6" s="21" t="n">
        <v>0.8626</v>
      </c>
      <c r="J6" s="21" t="n">
        <v>0.8771</v>
      </c>
      <c r="K6" s="21" t="n">
        <v>0.1683</v>
      </c>
      <c r="L6" s="22" t="n">
        <v>4.36</v>
      </c>
      <c r="M6" s="22" t="n">
        <v>6</v>
      </c>
      <c r="N6" s="22" t="n">
        <v>23</v>
      </c>
      <c r="O6" s="22" t="n">
        <v>294</v>
      </c>
      <c r="P6" s="22" t="n">
        <v>0</v>
      </c>
      <c r="Q6" s="22" t="n">
        <v>1</v>
      </c>
      <c r="R6" s="22" t="n">
        <v>304</v>
      </c>
      <c r="S6" s="22" t="n">
        <v>324</v>
      </c>
      <c r="T6" s="22" t="n">
        <v>222</v>
      </c>
      <c r="U6" s="22" t="n">
        <v>0</v>
      </c>
      <c r="V6" s="22" t="n">
        <v>4</v>
      </c>
      <c r="W6" s="22" t="n">
        <v>25779</v>
      </c>
      <c r="X6" s="22" t="n">
        <v>3</v>
      </c>
      <c r="Y6" s="22" t="n">
        <v>3</v>
      </c>
      <c r="Z6" s="23">
        <f>IF(E6="","",IF('分位数阈值'!$D$2="","",IFS(E6&gt;='分位数阈值'!$D$2,5,E6&gt;='分位数阈值'!$E$2,4,E6&gt;='分位数阈值'!$F$2,3,E6&gt;='分位数阈值'!$G$2,2,TRUE,1)))</f>
        <v/>
      </c>
      <c r="AA6" s="23">
        <f>IF(F6="","",IF('分位数阈值'!$D$3="","",IFS(F6&gt;='分位数阈值'!$D$3,5,F6&gt;='分位数阈值'!$E$3,4,F6&gt;='分位数阈值'!$F$3,3,F6&gt;='分位数阈值'!$G$3,2,TRUE,1)))</f>
        <v/>
      </c>
      <c r="AB6" s="23">
        <f>IF(G6="","",IF('分位数阈值'!$D$4="","",IFS(G6&gt;='分位数阈值'!$D$4,5,G6&gt;='分位数阈值'!$E$4,4,G6&gt;='分位数阈值'!$F$4,3,G6&gt;='分位数阈值'!$G$4,2,TRUE,1)))</f>
        <v/>
      </c>
      <c r="AC6" s="23">
        <f>IF(H6="","",IF('分位数阈值'!$D$5="","",IFS(H6&gt;='分位数阈值'!$D$5,5,H6&gt;='分位数阈值'!$E$5,4,H6&gt;='分位数阈值'!$F$5,3,H6&gt;='分位数阈值'!$G$5,2,TRUE,1)))</f>
        <v/>
      </c>
      <c r="AD6" s="23">
        <f>IF(I6="","",IF('分位数阈值'!$D$6="","",IFS(I6&gt;='分位数阈值'!$D$6,5,I6&gt;='分位数阈值'!$E$6,4,I6&gt;='分位数阈值'!$F$6,3,I6&gt;='分位数阈值'!$G$6,2,TRUE,1)))</f>
        <v/>
      </c>
      <c r="AE6" s="23">
        <f>IF(J6="","",IF('分位数阈值'!$D$7="","",IFS(J6&gt;='分位数阈值'!$D$7,5,J6&gt;='分位数阈值'!$E$7,4,J6&gt;='分位数阈值'!$F$7,3,J6&gt;='分位数阈值'!$G$7,2,TRUE,1)))</f>
        <v/>
      </c>
      <c r="AF6" s="23">
        <f>IF(K6="","",IF('分位数阈值'!$D$8="","",IFS(K6&gt;='分位数阈值'!$D$8,5,K6&gt;='分位数阈值'!$E$8,4,K6&gt;='分位数阈值'!$F$8,3,K6&gt;='分位数阈值'!$G$8,2,TRUE,1)))</f>
        <v/>
      </c>
      <c r="AG6" s="23">
        <f>IF(L6="","",IF('分位数阈值'!$D$9="","",IFS(L6&gt;='分位数阈值'!$D$9,5,L6&gt;='分位数阈值'!$E$9,4,L6&gt;='分位数阈值'!$F$9,3,L6&gt;='分位数阈值'!$G$9,2,TRUE,1)))</f>
        <v/>
      </c>
      <c r="AH6" s="23">
        <f>IF(M6="","",IF('分位数阈值'!$D$10="","",IFS(M6&lt;='分位数阈值'!$G$10,5,M6&lt;='分位数阈值'!$F$10,4,M6&lt;='分位数阈值'!$E$10,3,M6&lt;='分位数阈值'!$D$10,2,TRUE,1)))</f>
        <v/>
      </c>
      <c r="AI6" s="23">
        <f>IF(N6="","",IF('分位数阈值'!$D$11="","",IFS(N6&lt;='分位数阈值'!$G$11,5,N6&lt;='分位数阈值'!$F$11,4,N6&lt;='分位数阈值'!$E$11,3,N6&lt;='分位数阈值'!$D$11,2,TRUE,1)))</f>
        <v/>
      </c>
      <c r="AJ6" s="23">
        <f>IF(P6="","",IF(P6=1,1,5))</f>
        <v/>
      </c>
      <c r="AK6" s="23">
        <f>IF(Q6="","",IF(Q6=1,1,5))</f>
        <v/>
      </c>
      <c r="AL6" s="23">
        <f>IF(O6="","",IF('分位数阈值'!$D$12="","",IFS(O6&gt;='分位数阈值'!$D$12,5,O6&gt;='分位数阈值'!$E$12,4,O6&gt;='分位数阈值'!$F$12,3,O6&gt;='分位数阈值'!$G$12,2,TRUE,1)))</f>
        <v/>
      </c>
      <c r="AM6" s="23">
        <f>IF(R6="","",IF('分位数阈值'!$D$13="","",IFS(R6&lt;='分位数阈值'!$G$13,5,R6&lt;='分位数阈值'!$F$13,4,R6&lt;='分位数阈值'!$E$13,3,R6&lt;='分位数阈值'!$D$13,2,TRUE,1)))</f>
        <v/>
      </c>
      <c r="AN6" s="23">
        <f>IF(S6="","",IF('分位数阈值'!$D$14="","",IFS(S6&lt;='分位数阈值'!$G$14,5,S6&lt;='分位数阈值'!$F$14,4,S6&lt;='分位数阈值'!$E$14,3,S6&lt;='分位数阈值'!$D$14,2,TRUE,1)))</f>
        <v/>
      </c>
      <c r="AO6" s="23">
        <f>IF(T6="","",IF('分位数阈值'!$D$15="","",IFS(T6&lt;='分位数阈值'!$G$15,5,T6&lt;='分位数阈值'!$F$15,4,T6&lt;='分位数阈值'!$E$15,3,T6&lt;='分位数阈值'!$D$15,2,TRUE,1)))</f>
        <v/>
      </c>
      <c r="AP6" s="23">
        <f>IF(U6="","",IF(U6=1,5,1))</f>
        <v/>
      </c>
      <c r="AQ6" s="23">
        <f>IF(V6="","",V6)</f>
        <v/>
      </c>
      <c r="AR6" s="23">
        <f>IF(W6="","",IF('分位数阈值'!$D$16="","",IFS(W6&lt;='分位数阈值'!$G$16,5,W6&lt;='分位数阈值'!$F$16,4,W6&lt;='分位数阈值'!$E$16,3,W6&lt;='分位数阈值'!$D$16,2,TRUE,1)))</f>
        <v/>
      </c>
      <c r="AS6" s="23">
        <f>IF(X6="","",X6)</f>
        <v/>
      </c>
      <c r="AT6" s="23">
        <f>IF(Y6="","",Y6)</f>
        <v/>
      </c>
      <c r="AU6" s="10">
        <f>IF($A6="","",IF(OR(Z6=1,AR6=1,AJ6=1),"淘汰","通过"))</f>
        <v/>
      </c>
      <c r="AV6" s="10">
        <f>IF($A6="","",IF(OR(AA6=1,AR6=1,AND(AK6=1,AI6=1),AO6=1),"淘汰","通过"))</f>
        <v/>
      </c>
      <c r="AW6" s="24">
        <f>IF($A6="","",IF(AU6="淘汰","",ROUND(SUMPRODUCT(Z6:AT6,Z$2:AT$2)/5,1)))</f>
        <v/>
      </c>
      <c r="AX6" s="24">
        <f>IF($A6="","",IF(AV6="淘汰","",ROUND(SUMPRODUCT(Z6:AT6,Z$3:AT$3)/5,1)))</f>
        <v/>
      </c>
    </row>
    <row r="7">
      <c r="A7" s="22" t="inlineStr">
        <is>
          <t>OSK003</t>
        </is>
      </c>
      <c r="B7" s="20" t="inlineStr">
        <is>
          <t>大阪府大阪市西区阿波座一丁目</t>
        </is>
      </c>
      <c r="C7" s="22" t="n">
        <v>34.674877</v>
      </c>
      <c r="D7" s="22" t="n">
        <v>135.483557</v>
      </c>
      <c r="E7" s="22" t="n">
        <v>13909</v>
      </c>
      <c r="F7" s="22" t="n">
        <v>142238</v>
      </c>
      <c r="G7" s="21" t="n">
        <v>0.7771</v>
      </c>
      <c r="H7" s="21" t="n">
        <v>0.673</v>
      </c>
      <c r="I7" s="21" t="n">
        <v>0.8981</v>
      </c>
      <c r="J7" s="21" t="n">
        <v>0.7814</v>
      </c>
      <c r="K7" s="21" t="n">
        <v>0.1414</v>
      </c>
      <c r="L7" s="22" t="n">
        <v>4.65</v>
      </c>
      <c r="M7" s="22" t="n">
        <v>6</v>
      </c>
      <c r="N7" s="22" t="n">
        <v>24</v>
      </c>
      <c r="O7" s="22" t="n">
        <v>118</v>
      </c>
      <c r="P7" s="22" t="n">
        <v>0</v>
      </c>
      <c r="Q7" s="22" t="n">
        <v>1</v>
      </c>
      <c r="R7" s="22" t="n">
        <v>182</v>
      </c>
      <c r="S7" s="22" t="n">
        <v>447</v>
      </c>
      <c r="T7" s="22" t="n">
        <v>178</v>
      </c>
      <c r="U7" s="22" t="n">
        <v>0</v>
      </c>
      <c r="V7" s="22" t="n">
        <v>4</v>
      </c>
      <c r="W7" s="22" t="n">
        <v>39328</v>
      </c>
      <c r="X7" s="22" t="n">
        <v>4</v>
      </c>
      <c r="Y7" s="22" t="n">
        <v>2</v>
      </c>
      <c r="Z7" s="23">
        <f>IF(E7="","",IF('分位数阈值'!$D$2="","",IFS(E7&gt;='分位数阈值'!$D$2,5,E7&gt;='分位数阈值'!$E$2,4,E7&gt;='分位数阈值'!$F$2,3,E7&gt;='分位数阈值'!$G$2,2,TRUE,1)))</f>
        <v/>
      </c>
      <c r="AA7" s="23">
        <f>IF(F7="","",IF('分位数阈值'!$D$3="","",IFS(F7&gt;='分位数阈值'!$D$3,5,F7&gt;='分位数阈值'!$E$3,4,F7&gt;='分位数阈值'!$F$3,3,F7&gt;='分位数阈值'!$G$3,2,TRUE,1)))</f>
        <v/>
      </c>
      <c r="AB7" s="23">
        <f>IF(G7="","",IF('分位数阈值'!$D$4="","",IFS(G7&gt;='分位数阈值'!$D$4,5,G7&gt;='分位数阈值'!$E$4,4,G7&gt;='分位数阈值'!$F$4,3,G7&gt;='分位数阈值'!$G$4,2,TRUE,1)))</f>
        <v/>
      </c>
      <c r="AC7" s="23">
        <f>IF(H7="","",IF('分位数阈值'!$D$5="","",IFS(H7&gt;='分位数阈值'!$D$5,5,H7&gt;='分位数阈值'!$E$5,4,H7&gt;='分位数阈值'!$F$5,3,H7&gt;='分位数阈值'!$G$5,2,TRUE,1)))</f>
        <v/>
      </c>
      <c r="AD7" s="23">
        <f>IF(I7="","",IF('分位数阈值'!$D$6="","",IFS(I7&gt;='分位数阈值'!$D$6,5,I7&gt;='分位数阈值'!$E$6,4,I7&gt;='分位数阈值'!$F$6,3,I7&gt;='分位数阈值'!$G$6,2,TRUE,1)))</f>
        <v/>
      </c>
      <c r="AE7" s="23">
        <f>IF(J7="","",IF('分位数阈值'!$D$7="","",IFS(J7&gt;='分位数阈值'!$D$7,5,J7&gt;='分位数阈值'!$E$7,4,J7&gt;='分位数阈值'!$F$7,3,J7&gt;='分位数阈值'!$G$7,2,TRUE,1)))</f>
        <v/>
      </c>
      <c r="AF7" s="23">
        <f>IF(K7="","",IF('分位数阈值'!$D$8="","",IFS(K7&gt;='分位数阈值'!$D$8,5,K7&gt;='分位数阈值'!$E$8,4,K7&gt;='分位数阈值'!$F$8,3,K7&gt;='分位数阈值'!$G$8,2,TRUE,1)))</f>
        <v/>
      </c>
      <c r="AG7" s="23">
        <f>IF(L7="","",IF('分位数阈值'!$D$9="","",IFS(L7&gt;='分位数阈值'!$D$9,5,L7&gt;='分位数阈值'!$E$9,4,L7&gt;='分位数阈值'!$F$9,3,L7&gt;='分位数阈值'!$G$9,2,TRUE,1)))</f>
        <v/>
      </c>
      <c r="AH7" s="23">
        <f>IF(M7="","",IF('分位数阈值'!$D$10="","",IFS(M7&lt;='分位数阈值'!$G$10,5,M7&lt;='分位数阈值'!$F$10,4,M7&lt;='分位数阈值'!$E$10,3,M7&lt;='分位数阈值'!$D$10,2,TRUE,1)))</f>
        <v/>
      </c>
      <c r="AI7" s="23">
        <f>IF(N7="","",IF('分位数阈值'!$D$11="","",IFS(N7&lt;='分位数阈值'!$G$11,5,N7&lt;='分位数阈值'!$F$11,4,N7&lt;='分位数阈值'!$E$11,3,N7&lt;='分位数阈值'!$D$11,2,TRUE,1)))</f>
        <v/>
      </c>
      <c r="AJ7" s="23">
        <f>IF(P7="","",IF(P7=1,1,5))</f>
        <v/>
      </c>
      <c r="AK7" s="23">
        <f>IF(Q7="","",IF(Q7=1,1,5))</f>
        <v/>
      </c>
      <c r="AL7" s="23">
        <f>IF(O7="","",IF('分位数阈值'!$D$12="","",IFS(O7&gt;='分位数阈值'!$D$12,5,O7&gt;='分位数阈值'!$E$12,4,O7&gt;='分位数阈值'!$F$12,3,O7&gt;='分位数阈值'!$G$12,2,TRUE,1)))</f>
        <v/>
      </c>
      <c r="AM7" s="23">
        <f>IF(R7="","",IF('分位数阈值'!$D$13="","",IFS(R7&lt;='分位数阈值'!$G$13,5,R7&lt;='分位数阈值'!$F$13,4,R7&lt;='分位数阈值'!$E$13,3,R7&lt;='分位数阈值'!$D$13,2,TRUE,1)))</f>
        <v/>
      </c>
      <c r="AN7" s="23">
        <f>IF(S7="","",IF('分位数阈值'!$D$14="","",IFS(S7&lt;='分位数阈值'!$G$14,5,S7&lt;='分位数阈值'!$F$14,4,S7&lt;='分位数阈值'!$E$14,3,S7&lt;='分位数阈值'!$D$14,2,TRUE,1)))</f>
        <v/>
      </c>
      <c r="AO7" s="23">
        <f>IF(T7="","",IF('分位数阈值'!$D$15="","",IFS(T7&lt;='分位数阈值'!$G$15,5,T7&lt;='分位数阈值'!$F$15,4,T7&lt;='分位数阈值'!$E$15,3,T7&lt;='分位数阈值'!$D$15,2,TRUE,1)))</f>
        <v/>
      </c>
      <c r="AP7" s="23">
        <f>IF(U7="","",IF(U7=1,5,1))</f>
        <v/>
      </c>
      <c r="AQ7" s="23">
        <f>IF(V7="","",V7)</f>
        <v/>
      </c>
      <c r="AR7" s="23">
        <f>IF(W7="","",IF('分位数阈值'!$D$16="","",IFS(W7&lt;='分位数阈值'!$G$16,5,W7&lt;='分位数阈值'!$F$16,4,W7&lt;='分位数阈值'!$E$16,3,W7&lt;='分位数阈值'!$D$16,2,TRUE,1)))</f>
        <v/>
      </c>
      <c r="AS7" s="23">
        <f>IF(X7="","",X7)</f>
        <v/>
      </c>
      <c r="AT7" s="23">
        <f>IF(Y7="","",Y7)</f>
        <v/>
      </c>
      <c r="AU7" s="10">
        <f>IF($A7="","",IF(OR(Z7=1,AR7=1,AJ7=1),"淘汰","通过"))</f>
        <v/>
      </c>
      <c r="AV7" s="10">
        <f>IF($A7="","",IF(OR(AA7=1,AR7=1,AND(AK7=1,AI7=1),AO7=1),"淘汰","通过"))</f>
        <v/>
      </c>
      <c r="AW7" s="24">
        <f>IF($A7="","",IF(AU7="淘汰","",ROUND(SUMPRODUCT(Z7:AT7,Z$2:AT$2)/5,1)))</f>
        <v/>
      </c>
      <c r="AX7" s="24">
        <f>IF($A7="","",IF(AV7="淘汰","",ROUND(SUMPRODUCT(Z7:AT7,Z$3:AT$3)/5,1)))</f>
        <v/>
      </c>
    </row>
    <row r="8">
      <c r="A8" s="22" t="inlineStr">
        <is>
          <t>OSK004</t>
        </is>
      </c>
      <c r="B8" s="20" t="inlineStr">
        <is>
          <t>大阪府大阪市天王寺区上本町六丁目</t>
        </is>
      </c>
      <c r="C8" s="22" t="n">
        <v>34.664063</v>
      </c>
      <c r="D8" s="22" t="n">
        <v>135.520306</v>
      </c>
      <c r="E8" s="22" t="n">
        <v>15410</v>
      </c>
      <c r="F8" s="22" t="n">
        <v>136879</v>
      </c>
      <c r="G8" s="21" t="n">
        <v>0.8386</v>
      </c>
      <c r="H8" s="21" t="n">
        <v>0.7753</v>
      </c>
      <c r="I8" s="21" t="n">
        <v>0.8909</v>
      </c>
      <c r="J8" s="21" t="n">
        <v>0.8483000000000001</v>
      </c>
      <c r="K8" s="21" t="n">
        <v>0.1517</v>
      </c>
      <c r="L8" s="22" t="n">
        <v>4.6</v>
      </c>
      <c r="M8" s="22" t="n">
        <v>5</v>
      </c>
      <c r="N8" s="22" t="n">
        <v>19</v>
      </c>
      <c r="O8" s="22" t="n">
        <v>134</v>
      </c>
      <c r="P8" s="22" t="n">
        <v>0</v>
      </c>
      <c r="Q8" s="22" t="n">
        <v>1</v>
      </c>
      <c r="R8" s="22" t="n">
        <v>238</v>
      </c>
      <c r="S8" s="22" t="n">
        <v>416</v>
      </c>
      <c r="T8" s="22" t="n">
        <v>130</v>
      </c>
      <c r="U8" s="22" t="n">
        <v>0</v>
      </c>
      <c r="V8" s="22" t="n">
        <v>5</v>
      </c>
      <c r="W8" s="22" t="n">
        <v>33662</v>
      </c>
      <c r="X8" s="22" t="n">
        <v>2</v>
      </c>
      <c r="Y8" s="22" t="n">
        <v>2</v>
      </c>
      <c r="Z8" s="23">
        <f>IF(E8="","",IF('分位数阈值'!$D$2="","",IFS(E8&gt;='分位数阈值'!$D$2,5,E8&gt;='分位数阈值'!$E$2,4,E8&gt;='分位数阈值'!$F$2,3,E8&gt;='分位数阈值'!$G$2,2,TRUE,1)))</f>
        <v/>
      </c>
      <c r="AA8" s="23">
        <f>IF(F8="","",IF('分位数阈值'!$D$3="","",IFS(F8&gt;='分位数阈值'!$D$3,5,F8&gt;='分位数阈值'!$E$3,4,F8&gt;='分位数阈值'!$F$3,3,F8&gt;='分位数阈值'!$G$3,2,TRUE,1)))</f>
        <v/>
      </c>
      <c r="AB8" s="23">
        <f>IF(G8="","",IF('分位数阈值'!$D$4="","",IFS(G8&gt;='分位数阈值'!$D$4,5,G8&gt;='分位数阈值'!$E$4,4,G8&gt;='分位数阈值'!$F$4,3,G8&gt;='分位数阈值'!$G$4,2,TRUE,1)))</f>
        <v/>
      </c>
      <c r="AC8" s="23">
        <f>IF(H8="","",IF('分位数阈值'!$D$5="","",IFS(H8&gt;='分位数阈值'!$D$5,5,H8&gt;='分位数阈值'!$E$5,4,H8&gt;='分位数阈值'!$F$5,3,H8&gt;='分位数阈值'!$G$5,2,TRUE,1)))</f>
        <v/>
      </c>
      <c r="AD8" s="23">
        <f>IF(I8="","",IF('分位数阈值'!$D$6="","",IFS(I8&gt;='分位数阈值'!$D$6,5,I8&gt;='分位数阈值'!$E$6,4,I8&gt;='分位数阈值'!$F$6,3,I8&gt;='分位数阈值'!$G$6,2,TRUE,1)))</f>
        <v/>
      </c>
      <c r="AE8" s="23">
        <f>IF(J8="","",IF('分位数阈值'!$D$7="","",IFS(J8&gt;='分位数阈值'!$D$7,5,J8&gt;='分位数阈值'!$E$7,4,J8&gt;='分位数阈值'!$F$7,3,J8&gt;='分位数阈值'!$G$7,2,TRUE,1)))</f>
        <v/>
      </c>
      <c r="AF8" s="23">
        <f>IF(K8="","",IF('分位数阈值'!$D$8="","",IFS(K8&gt;='分位数阈值'!$D$8,5,K8&gt;='分位数阈值'!$E$8,4,K8&gt;='分位数阈值'!$F$8,3,K8&gt;='分位数阈值'!$G$8,2,TRUE,1)))</f>
        <v/>
      </c>
      <c r="AG8" s="23">
        <f>IF(L8="","",IF('分位数阈值'!$D$9="","",IFS(L8&gt;='分位数阈值'!$D$9,5,L8&gt;='分位数阈值'!$E$9,4,L8&gt;='分位数阈值'!$F$9,3,L8&gt;='分位数阈值'!$G$9,2,TRUE,1)))</f>
        <v/>
      </c>
      <c r="AH8" s="23">
        <f>IF(M8="","",IF('分位数阈值'!$D$10="","",IFS(M8&lt;='分位数阈值'!$G$10,5,M8&lt;='分位数阈值'!$F$10,4,M8&lt;='分位数阈值'!$E$10,3,M8&lt;='分位数阈值'!$D$10,2,TRUE,1)))</f>
        <v/>
      </c>
      <c r="AI8" s="23">
        <f>IF(N8="","",IF('分位数阈值'!$D$11="","",IFS(N8&lt;='分位数阈值'!$G$11,5,N8&lt;='分位数阈值'!$F$11,4,N8&lt;='分位数阈值'!$E$11,3,N8&lt;='分位数阈值'!$D$11,2,TRUE,1)))</f>
        <v/>
      </c>
      <c r="AJ8" s="23">
        <f>IF(P8="","",IF(P8=1,1,5))</f>
        <v/>
      </c>
      <c r="AK8" s="23">
        <f>IF(Q8="","",IF(Q8=1,1,5))</f>
        <v/>
      </c>
      <c r="AL8" s="23">
        <f>IF(O8="","",IF('分位数阈值'!$D$12="","",IFS(O8&gt;='分位数阈值'!$D$12,5,O8&gt;='分位数阈值'!$E$12,4,O8&gt;='分位数阈值'!$F$12,3,O8&gt;='分位数阈值'!$G$12,2,TRUE,1)))</f>
        <v/>
      </c>
      <c r="AM8" s="23">
        <f>IF(R8="","",IF('分位数阈值'!$D$13="","",IFS(R8&lt;='分位数阈值'!$G$13,5,R8&lt;='分位数阈值'!$F$13,4,R8&lt;='分位数阈值'!$E$13,3,R8&lt;='分位数阈值'!$D$13,2,TRUE,1)))</f>
        <v/>
      </c>
      <c r="AN8" s="23">
        <f>IF(S8="","",IF('分位数阈值'!$D$14="","",IFS(S8&lt;='分位数阈值'!$G$14,5,S8&lt;='分位数阈值'!$F$14,4,S8&lt;='分位数阈值'!$E$14,3,S8&lt;='分位数阈值'!$D$14,2,TRUE,1)))</f>
        <v/>
      </c>
      <c r="AO8" s="23">
        <f>IF(T8="","",IF('分位数阈值'!$D$15="","",IFS(T8&lt;='分位数阈值'!$G$15,5,T8&lt;='分位数阈值'!$F$15,4,T8&lt;='分位数阈值'!$E$15,3,T8&lt;='分位数阈值'!$D$15,2,TRUE,1)))</f>
        <v/>
      </c>
      <c r="AP8" s="23">
        <f>IF(U8="","",IF(U8=1,5,1))</f>
        <v/>
      </c>
      <c r="AQ8" s="23">
        <f>IF(V8="","",V8)</f>
        <v/>
      </c>
      <c r="AR8" s="23">
        <f>IF(W8="","",IF('分位数阈值'!$D$16="","",IFS(W8&lt;='分位数阈值'!$G$16,5,W8&lt;='分位数阈值'!$F$16,4,W8&lt;='分位数阈值'!$E$16,3,W8&lt;='分位数阈值'!$D$16,2,TRUE,1)))</f>
        <v/>
      </c>
      <c r="AS8" s="23">
        <f>IF(X8="","",X8)</f>
        <v/>
      </c>
      <c r="AT8" s="23">
        <f>IF(Y8="","",Y8)</f>
        <v/>
      </c>
      <c r="AU8" s="10">
        <f>IF($A8="","",IF(OR(Z8=1,AR8=1,AJ8=1),"淘汰","通过"))</f>
        <v/>
      </c>
      <c r="AV8" s="10">
        <f>IF($A8="","",IF(OR(AA8=1,AR8=1,AND(AK8=1,AI8=1),AO8=1),"淘汰","通过"))</f>
        <v/>
      </c>
      <c r="AW8" s="24">
        <f>IF($A8="","",IF(AU8="淘汰","",ROUND(SUMPRODUCT(Z8:AT8,Z$2:AT$2)/5,1)))</f>
        <v/>
      </c>
      <c r="AX8" s="24">
        <f>IF($A8="","",IF(AV8="淘汰","",ROUND(SUMPRODUCT(Z8:AT8,Z$3:AT$3)/5,1)))</f>
        <v/>
      </c>
    </row>
    <row r="9">
      <c r="A9" s="22" t="inlineStr">
        <is>
          <t>OSK005</t>
        </is>
      </c>
      <c r="B9" s="20" t="inlineStr">
        <is>
          <t>大阪府大阪市浪速区難波中二丁目</t>
        </is>
      </c>
      <c r="C9" s="22" t="n">
        <v>34.665229</v>
      </c>
      <c r="D9" s="22" t="n">
        <v>135.50299</v>
      </c>
      <c r="E9" s="22" t="n">
        <v>20129</v>
      </c>
      <c r="F9" s="22" t="n">
        <v>153773</v>
      </c>
      <c r="G9" s="21" t="n">
        <v>0.6627</v>
      </c>
      <c r="H9" s="21" t="n">
        <v>0.6763</v>
      </c>
      <c r="I9" s="21" t="n">
        <v>0.9795</v>
      </c>
      <c r="J9" s="21" t="n">
        <v>0.8294</v>
      </c>
      <c r="K9" s="21" t="n">
        <v>0.1977</v>
      </c>
      <c r="L9" s="22" t="n">
        <v>4.48</v>
      </c>
      <c r="M9" s="22" t="n">
        <v>3</v>
      </c>
      <c r="N9" s="22" t="n">
        <v>26</v>
      </c>
      <c r="O9" s="22" t="n">
        <v>230</v>
      </c>
      <c r="P9" s="22" t="n">
        <v>0</v>
      </c>
      <c r="Q9" s="22" t="n">
        <v>1</v>
      </c>
      <c r="R9" s="22" t="n">
        <v>253</v>
      </c>
      <c r="S9" s="22" t="n">
        <v>157</v>
      </c>
      <c r="T9" s="22" t="n">
        <v>137</v>
      </c>
      <c r="U9" s="22" t="n">
        <v>0</v>
      </c>
      <c r="V9" s="22" t="n">
        <v>5</v>
      </c>
      <c r="W9" s="22" t="n">
        <v>39889</v>
      </c>
      <c r="X9" s="22" t="n">
        <v>3</v>
      </c>
      <c r="Y9" s="22" t="n">
        <v>3</v>
      </c>
      <c r="Z9" s="23">
        <f>IF(E9="","",IF('分位数阈值'!$D$2="","",IFS(E9&gt;='分位数阈值'!$D$2,5,E9&gt;='分位数阈值'!$E$2,4,E9&gt;='分位数阈值'!$F$2,3,E9&gt;='分位数阈值'!$G$2,2,TRUE,1)))</f>
        <v/>
      </c>
      <c r="AA9" s="23">
        <f>IF(F9="","",IF('分位数阈值'!$D$3="","",IFS(F9&gt;='分位数阈值'!$D$3,5,F9&gt;='分位数阈值'!$E$3,4,F9&gt;='分位数阈值'!$F$3,3,F9&gt;='分位数阈值'!$G$3,2,TRUE,1)))</f>
        <v/>
      </c>
      <c r="AB9" s="23">
        <f>IF(G9="","",IF('分位数阈值'!$D$4="","",IFS(G9&gt;='分位数阈值'!$D$4,5,G9&gt;='分位数阈值'!$E$4,4,G9&gt;='分位数阈值'!$F$4,3,G9&gt;='分位数阈值'!$G$4,2,TRUE,1)))</f>
        <v/>
      </c>
      <c r="AC9" s="23">
        <f>IF(H9="","",IF('分位数阈值'!$D$5="","",IFS(H9&gt;='分位数阈值'!$D$5,5,H9&gt;='分位数阈值'!$E$5,4,H9&gt;='分位数阈值'!$F$5,3,H9&gt;='分位数阈值'!$G$5,2,TRUE,1)))</f>
        <v/>
      </c>
      <c r="AD9" s="23">
        <f>IF(I9="","",IF('分位数阈值'!$D$6="","",IFS(I9&gt;='分位数阈值'!$D$6,5,I9&gt;='分位数阈值'!$E$6,4,I9&gt;='分位数阈值'!$F$6,3,I9&gt;='分位数阈值'!$G$6,2,TRUE,1)))</f>
        <v/>
      </c>
      <c r="AE9" s="23">
        <f>IF(J9="","",IF('分位数阈值'!$D$7="","",IFS(J9&gt;='分位数阈值'!$D$7,5,J9&gt;='分位数阈值'!$E$7,4,J9&gt;='分位数阈值'!$F$7,3,J9&gt;='分位数阈值'!$G$7,2,TRUE,1)))</f>
        <v/>
      </c>
      <c r="AF9" s="23">
        <f>IF(K9="","",IF('分位数阈值'!$D$8="","",IFS(K9&gt;='分位数阈值'!$D$8,5,K9&gt;='分位数阈值'!$E$8,4,K9&gt;='分位数阈值'!$F$8,3,K9&gt;='分位数阈值'!$G$8,2,TRUE,1)))</f>
        <v/>
      </c>
      <c r="AG9" s="23">
        <f>IF(L9="","",IF('分位数阈值'!$D$9="","",IFS(L9&gt;='分位数阈值'!$D$9,5,L9&gt;='分位数阈值'!$E$9,4,L9&gt;='分位数阈值'!$F$9,3,L9&gt;='分位数阈值'!$G$9,2,TRUE,1)))</f>
        <v/>
      </c>
      <c r="AH9" s="23">
        <f>IF(M9="","",IF('分位数阈值'!$D$10="","",IFS(M9&lt;='分位数阈值'!$G$10,5,M9&lt;='分位数阈值'!$F$10,4,M9&lt;='分位数阈值'!$E$10,3,M9&lt;='分位数阈值'!$D$10,2,TRUE,1)))</f>
        <v/>
      </c>
      <c r="AI9" s="23">
        <f>IF(N9="","",IF('分位数阈值'!$D$11="","",IFS(N9&lt;='分位数阈值'!$G$11,5,N9&lt;='分位数阈值'!$F$11,4,N9&lt;='分位数阈值'!$E$11,3,N9&lt;='分位数阈值'!$D$11,2,TRUE,1)))</f>
        <v/>
      </c>
      <c r="AJ9" s="23">
        <f>IF(P9="","",IF(P9=1,1,5))</f>
        <v/>
      </c>
      <c r="AK9" s="23">
        <f>IF(Q9="","",IF(Q9=1,1,5))</f>
        <v/>
      </c>
      <c r="AL9" s="23">
        <f>IF(O9="","",IF('分位数阈值'!$D$12="","",IFS(O9&gt;='分位数阈值'!$D$12,5,O9&gt;='分位数阈值'!$E$12,4,O9&gt;='分位数阈值'!$F$12,3,O9&gt;='分位数阈值'!$G$12,2,TRUE,1)))</f>
        <v/>
      </c>
      <c r="AM9" s="23">
        <f>IF(R9="","",IF('分位数阈值'!$D$13="","",IFS(R9&lt;='分位数阈值'!$G$13,5,R9&lt;='分位数阈值'!$F$13,4,R9&lt;='分位数阈值'!$E$13,3,R9&lt;='分位数阈值'!$D$13,2,TRUE,1)))</f>
        <v/>
      </c>
      <c r="AN9" s="23">
        <f>IF(S9="","",IF('分位数阈值'!$D$14="","",IFS(S9&lt;='分位数阈值'!$G$14,5,S9&lt;='分位数阈值'!$F$14,4,S9&lt;='分位数阈值'!$E$14,3,S9&lt;='分位数阈值'!$D$14,2,TRUE,1)))</f>
        <v/>
      </c>
      <c r="AO9" s="23">
        <f>IF(T9="","",IF('分位数阈值'!$D$15="","",IFS(T9&lt;='分位数阈值'!$G$15,5,T9&lt;='分位数阈值'!$F$15,4,T9&lt;='分位数阈值'!$E$15,3,T9&lt;='分位数阈值'!$D$15,2,TRUE,1)))</f>
        <v/>
      </c>
      <c r="AP9" s="23">
        <f>IF(U9="","",IF(U9=1,5,1))</f>
        <v/>
      </c>
      <c r="AQ9" s="23">
        <f>IF(V9="","",V9)</f>
        <v/>
      </c>
      <c r="AR9" s="23">
        <f>IF(W9="","",IF('分位数阈值'!$D$16="","",IFS(W9&lt;='分位数阈值'!$G$16,5,W9&lt;='分位数阈值'!$F$16,4,W9&lt;='分位数阈值'!$E$16,3,W9&lt;='分位数阈值'!$D$16,2,TRUE,1)))</f>
        <v/>
      </c>
      <c r="AS9" s="23">
        <f>IF(X9="","",X9)</f>
        <v/>
      </c>
      <c r="AT9" s="23">
        <f>IF(Y9="","",Y9)</f>
        <v/>
      </c>
      <c r="AU9" s="10">
        <f>IF($A9="","",IF(OR(Z9=1,AR9=1,AJ9=1),"淘汰","通过"))</f>
        <v/>
      </c>
      <c r="AV9" s="10">
        <f>IF($A9="","",IF(OR(AA9=1,AR9=1,AND(AK9=1,AI9=1),AO9=1),"淘汰","通过"))</f>
        <v/>
      </c>
      <c r="AW9" s="24">
        <f>IF($A9="","",IF(AU9="淘汰","",ROUND(SUMPRODUCT(Z9:AT9,Z$2:AT$2)/5,1)))</f>
        <v/>
      </c>
      <c r="AX9" s="24">
        <f>IF($A9="","",IF(AV9="淘汰","",ROUND(SUMPRODUCT(Z9:AT9,Z$3:AT$3)/5,1)))</f>
        <v/>
      </c>
    </row>
    <row r="10">
      <c r="A10" s="22" t="inlineStr">
        <is>
          <t>OSK006</t>
        </is>
      </c>
      <c r="B10" s="20" t="inlineStr">
        <is>
          <t>大阪府大阪市福島区福島五丁目</t>
        </is>
      </c>
      <c r="C10" s="22" t="n">
        <v>34.695966</v>
      </c>
      <c r="D10" s="22" t="n">
        <v>135.486625</v>
      </c>
      <c r="E10" s="22" t="n">
        <v>20835</v>
      </c>
      <c r="F10" s="22" t="n">
        <v>143876</v>
      </c>
      <c r="G10" s="21" t="n">
        <v>0.7778</v>
      </c>
      <c r="H10" s="21" t="n">
        <v>0.7218</v>
      </c>
      <c r="I10" s="21" t="n">
        <v>0.8699</v>
      </c>
      <c r="J10" s="21" t="n">
        <v>0.8643999999999999</v>
      </c>
      <c r="K10" s="21" t="n">
        <v>0.1632</v>
      </c>
      <c r="L10" s="22" t="n">
        <v>4.29</v>
      </c>
      <c r="M10" s="22" t="n">
        <v>5</v>
      </c>
      <c r="N10" s="22" t="n">
        <v>15</v>
      </c>
      <c r="O10" s="22" t="n">
        <v>151</v>
      </c>
      <c r="P10" s="22" t="n">
        <v>1</v>
      </c>
      <c r="Q10" s="22" t="n">
        <v>0</v>
      </c>
      <c r="R10" s="22" t="n">
        <v>317</v>
      </c>
      <c r="S10" s="22" t="n">
        <v>394</v>
      </c>
      <c r="T10" s="22" t="n">
        <v>112</v>
      </c>
      <c r="U10" s="22" t="n">
        <v>1</v>
      </c>
      <c r="V10" s="22" t="n">
        <v>5</v>
      </c>
      <c r="W10" s="22" t="n">
        <v>41098</v>
      </c>
      <c r="X10" s="22" t="n">
        <v>2</v>
      </c>
      <c r="Y10" s="22" t="n">
        <v>3</v>
      </c>
      <c r="Z10" s="23">
        <f>IF(E10="","",IF('分位数阈值'!$D$2="","",IFS(E10&gt;='分位数阈值'!$D$2,5,E10&gt;='分位数阈值'!$E$2,4,E10&gt;='分位数阈值'!$F$2,3,E10&gt;='分位数阈值'!$G$2,2,TRUE,1)))</f>
        <v/>
      </c>
      <c r="AA10" s="23">
        <f>IF(F10="","",IF('分位数阈值'!$D$3="","",IFS(F10&gt;='分位数阈值'!$D$3,5,F10&gt;='分位数阈值'!$E$3,4,F10&gt;='分位数阈值'!$F$3,3,F10&gt;='分位数阈值'!$G$3,2,TRUE,1)))</f>
        <v/>
      </c>
      <c r="AB10" s="23">
        <f>IF(G10="","",IF('分位数阈值'!$D$4="","",IFS(G10&gt;='分位数阈值'!$D$4,5,G10&gt;='分位数阈值'!$E$4,4,G10&gt;='分位数阈值'!$F$4,3,G10&gt;='分位数阈值'!$G$4,2,TRUE,1)))</f>
        <v/>
      </c>
      <c r="AC10" s="23">
        <f>IF(H10="","",IF('分位数阈值'!$D$5="","",IFS(H10&gt;='分位数阈值'!$D$5,5,H10&gt;='分位数阈值'!$E$5,4,H10&gt;='分位数阈值'!$F$5,3,H10&gt;='分位数阈值'!$G$5,2,TRUE,1)))</f>
        <v/>
      </c>
      <c r="AD10" s="23">
        <f>IF(I10="","",IF('分位数阈值'!$D$6="","",IFS(I10&gt;='分位数阈值'!$D$6,5,I10&gt;='分位数阈值'!$E$6,4,I10&gt;='分位数阈值'!$F$6,3,I10&gt;='分位数阈值'!$G$6,2,TRUE,1)))</f>
        <v/>
      </c>
      <c r="AE10" s="23">
        <f>IF(J10="","",IF('分位数阈值'!$D$7="","",IFS(J10&gt;='分位数阈值'!$D$7,5,J10&gt;='分位数阈值'!$E$7,4,J10&gt;='分位数阈值'!$F$7,3,J10&gt;='分位数阈值'!$G$7,2,TRUE,1)))</f>
        <v/>
      </c>
      <c r="AF10" s="23">
        <f>IF(K10="","",IF('分位数阈值'!$D$8="","",IFS(K10&gt;='分位数阈值'!$D$8,5,K10&gt;='分位数阈值'!$E$8,4,K10&gt;='分位数阈值'!$F$8,3,K10&gt;='分位数阈值'!$G$8,2,TRUE,1)))</f>
        <v/>
      </c>
      <c r="AG10" s="23">
        <f>IF(L10="","",IF('分位数阈值'!$D$9="","",IFS(L10&gt;='分位数阈值'!$D$9,5,L10&gt;='分位数阈值'!$E$9,4,L10&gt;='分位数阈值'!$F$9,3,L10&gt;='分位数阈值'!$G$9,2,TRUE,1)))</f>
        <v/>
      </c>
      <c r="AH10" s="23">
        <f>IF(M10="","",IF('分位数阈值'!$D$10="","",IFS(M10&lt;='分位数阈值'!$G$10,5,M10&lt;='分位数阈值'!$F$10,4,M10&lt;='分位数阈值'!$E$10,3,M10&lt;='分位数阈值'!$D$10,2,TRUE,1)))</f>
        <v/>
      </c>
      <c r="AI10" s="23">
        <f>IF(N10="","",IF('分位数阈值'!$D$11="","",IFS(N10&lt;='分位数阈值'!$G$11,5,N10&lt;='分位数阈值'!$F$11,4,N10&lt;='分位数阈值'!$E$11,3,N10&lt;='分位数阈值'!$D$11,2,TRUE,1)))</f>
        <v/>
      </c>
      <c r="AJ10" s="23">
        <f>IF(P10="","",IF(P10=1,1,5))</f>
        <v/>
      </c>
      <c r="AK10" s="23">
        <f>IF(Q10="","",IF(Q10=1,1,5))</f>
        <v/>
      </c>
      <c r="AL10" s="23">
        <f>IF(O10="","",IF('分位数阈值'!$D$12="","",IFS(O10&gt;='分位数阈值'!$D$12,5,O10&gt;='分位数阈值'!$E$12,4,O10&gt;='分位数阈值'!$F$12,3,O10&gt;='分位数阈值'!$G$12,2,TRUE,1)))</f>
        <v/>
      </c>
      <c r="AM10" s="23">
        <f>IF(R10="","",IF('分位数阈值'!$D$13="","",IFS(R10&lt;='分位数阈值'!$G$13,5,R10&lt;='分位数阈值'!$F$13,4,R10&lt;='分位数阈值'!$E$13,3,R10&lt;='分位数阈值'!$D$13,2,TRUE,1)))</f>
        <v/>
      </c>
      <c r="AN10" s="23">
        <f>IF(S10="","",IF('分位数阈值'!$D$14="","",IFS(S10&lt;='分位数阈值'!$G$14,5,S10&lt;='分位数阈值'!$F$14,4,S10&lt;='分位数阈值'!$E$14,3,S10&lt;='分位数阈值'!$D$14,2,TRUE,1)))</f>
        <v/>
      </c>
      <c r="AO10" s="23">
        <f>IF(T10="","",IF('分位数阈值'!$D$15="","",IFS(T10&lt;='分位数阈值'!$G$15,5,T10&lt;='分位数阈值'!$F$15,4,T10&lt;='分位数阈值'!$E$15,3,T10&lt;='分位数阈值'!$D$15,2,TRUE,1)))</f>
        <v/>
      </c>
      <c r="AP10" s="23">
        <f>IF(U10="","",IF(U10=1,5,1))</f>
        <v/>
      </c>
      <c r="AQ10" s="23">
        <f>IF(V10="","",V10)</f>
        <v/>
      </c>
      <c r="AR10" s="23">
        <f>IF(W10="","",IF('分位数阈值'!$D$16="","",IFS(W10&lt;='分位数阈值'!$G$16,5,W10&lt;='分位数阈值'!$F$16,4,W10&lt;='分位数阈值'!$E$16,3,W10&lt;='分位数阈值'!$D$16,2,TRUE,1)))</f>
        <v/>
      </c>
      <c r="AS10" s="23">
        <f>IF(X10="","",X10)</f>
        <v/>
      </c>
      <c r="AT10" s="23">
        <f>IF(Y10="","",Y10)</f>
        <v/>
      </c>
      <c r="AU10" s="10">
        <f>IF($A10="","",IF(OR(Z10=1,AR10=1,AJ10=1),"淘汰","通过"))</f>
        <v/>
      </c>
      <c r="AV10" s="10">
        <f>IF($A10="","",IF(OR(AA10=1,AR10=1,AND(AK10=1,AI10=1),AO10=1),"淘汰","通过"))</f>
        <v/>
      </c>
      <c r="AW10" s="24">
        <f>IF($A10="","",IF(AU10="淘汰","",ROUND(SUMPRODUCT(Z10:AT10,Z$2:AT$2)/5,1)))</f>
        <v/>
      </c>
      <c r="AX10" s="24">
        <f>IF($A10="","",IF(AV10="淘汰","",ROUND(SUMPRODUCT(Z10:AT10,Z$3:AT$3)/5,1)))</f>
        <v/>
      </c>
    </row>
    <row r="11">
      <c r="A11" s="22" t="inlineStr">
        <is>
          <t>OSK007</t>
        </is>
      </c>
      <c r="B11" s="20" t="inlineStr">
        <is>
          <t>大阪府大阪市都島区都島本通三丁目</t>
        </is>
      </c>
      <c r="C11" s="22" t="n">
        <v>34.706329</v>
      </c>
      <c r="D11" s="22" t="n">
        <v>135.52197</v>
      </c>
      <c r="E11" s="22" t="n">
        <v>14361</v>
      </c>
      <c r="F11" s="22" t="n">
        <v>98987</v>
      </c>
      <c r="G11" s="21" t="n">
        <v>0.6593</v>
      </c>
      <c r="H11" s="21" t="n">
        <v>0.621</v>
      </c>
      <c r="I11" s="21" t="n">
        <v>0.761</v>
      </c>
      <c r="J11" s="21" t="n">
        <v>0.8332000000000001</v>
      </c>
      <c r="K11" s="21" t="n">
        <v>0.1923</v>
      </c>
      <c r="L11" s="22" t="n">
        <v>2.53</v>
      </c>
      <c r="M11" s="22" t="n">
        <v>3</v>
      </c>
      <c r="N11" s="22" t="n">
        <v>19</v>
      </c>
      <c r="O11" s="22" t="n">
        <v>186</v>
      </c>
      <c r="P11" s="22" t="n">
        <v>0</v>
      </c>
      <c r="Q11" s="22" t="n">
        <v>0</v>
      </c>
      <c r="R11" s="22" t="n">
        <v>475</v>
      </c>
      <c r="S11" s="22" t="n">
        <v>347</v>
      </c>
      <c r="T11" s="22" t="n">
        <v>220</v>
      </c>
      <c r="U11" s="22" t="n">
        <v>1</v>
      </c>
      <c r="V11" s="22" t="n">
        <v>3</v>
      </c>
      <c r="W11" s="22" t="n">
        <v>20733</v>
      </c>
      <c r="X11" s="22" t="n">
        <v>4</v>
      </c>
      <c r="Y11" s="22" t="n">
        <v>3</v>
      </c>
      <c r="Z11" s="23">
        <f>IF(E11="","",IF('分位数阈值'!$D$2="","",IFS(E11&gt;='分位数阈值'!$D$2,5,E11&gt;='分位数阈值'!$E$2,4,E11&gt;='分位数阈值'!$F$2,3,E11&gt;='分位数阈值'!$G$2,2,TRUE,1)))</f>
        <v/>
      </c>
      <c r="AA11" s="23">
        <f>IF(F11="","",IF('分位数阈值'!$D$3="","",IFS(F11&gt;='分位数阈值'!$D$3,5,F11&gt;='分位数阈值'!$E$3,4,F11&gt;='分位数阈值'!$F$3,3,F11&gt;='分位数阈值'!$G$3,2,TRUE,1)))</f>
        <v/>
      </c>
      <c r="AB11" s="23">
        <f>IF(G11="","",IF('分位数阈值'!$D$4="","",IFS(G11&gt;='分位数阈值'!$D$4,5,G11&gt;='分位数阈值'!$E$4,4,G11&gt;='分位数阈值'!$F$4,3,G11&gt;='分位数阈值'!$G$4,2,TRUE,1)))</f>
        <v/>
      </c>
      <c r="AC11" s="23">
        <f>IF(H11="","",IF('分位数阈值'!$D$5="","",IFS(H11&gt;='分位数阈值'!$D$5,5,H11&gt;='分位数阈值'!$E$5,4,H11&gt;='分位数阈值'!$F$5,3,H11&gt;='分位数阈值'!$G$5,2,TRUE,1)))</f>
        <v/>
      </c>
      <c r="AD11" s="23">
        <f>IF(I11="","",IF('分位数阈值'!$D$6="","",IFS(I11&gt;='分位数阈值'!$D$6,5,I11&gt;='分位数阈值'!$E$6,4,I11&gt;='分位数阈值'!$F$6,3,I11&gt;='分位数阈值'!$G$6,2,TRUE,1)))</f>
        <v/>
      </c>
      <c r="AE11" s="23">
        <f>IF(J11="","",IF('分位数阈值'!$D$7="","",IFS(J11&gt;='分位数阈值'!$D$7,5,J11&gt;='分位数阈值'!$E$7,4,J11&gt;='分位数阈值'!$F$7,3,J11&gt;='分位数阈值'!$G$7,2,TRUE,1)))</f>
        <v/>
      </c>
      <c r="AF11" s="23">
        <f>IF(K11="","",IF('分位数阈值'!$D$8="","",IFS(K11&gt;='分位数阈值'!$D$8,5,K11&gt;='分位数阈值'!$E$8,4,K11&gt;='分位数阈值'!$F$8,3,K11&gt;='分位数阈值'!$G$8,2,TRUE,1)))</f>
        <v/>
      </c>
      <c r="AG11" s="23">
        <f>IF(L11="","",IF('分位数阈值'!$D$9="","",IFS(L11&gt;='分位数阈值'!$D$9,5,L11&gt;='分位数阈值'!$E$9,4,L11&gt;='分位数阈值'!$F$9,3,L11&gt;='分位数阈值'!$G$9,2,TRUE,1)))</f>
        <v/>
      </c>
      <c r="AH11" s="23">
        <f>IF(M11="","",IF('分位数阈值'!$D$10="","",IFS(M11&lt;='分位数阈值'!$G$10,5,M11&lt;='分位数阈值'!$F$10,4,M11&lt;='分位数阈值'!$E$10,3,M11&lt;='分位数阈值'!$D$10,2,TRUE,1)))</f>
        <v/>
      </c>
      <c r="AI11" s="23">
        <f>IF(N11="","",IF('分位数阈值'!$D$11="","",IFS(N11&lt;='分位数阈值'!$G$11,5,N11&lt;='分位数阈值'!$F$11,4,N11&lt;='分位数阈值'!$E$11,3,N11&lt;='分位数阈值'!$D$11,2,TRUE,1)))</f>
        <v/>
      </c>
      <c r="AJ11" s="23">
        <f>IF(P11="","",IF(P11=1,1,5))</f>
        <v/>
      </c>
      <c r="AK11" s="23">
        <f>IF(Q11="","",IF(Q11=1,1,5))</f>
        <v/>
      </c>
      <c r="AL11" s="23">
        <f>IF(O11="","",IF('分位数阈值'!$D$12="","",IFS(O11&gt;='分位数阈值'!$D$12,5,O11&gt;='分位数阈值'!$E$12,4,O11&gt;='分位数阈值'!$F$12,3,O11&gt;='分位数阈值'!$G$12,2,TRUE,1)))</f>
        <v/>
      </c>
      <c r="AM11" s="23">
        <f>IF(R11="","",IF('分位数阈值'!$D$13="","",IFS(R11&lt;='分位数阈值'!$G$13,5,R11&lt;='分位数阈值'!$F$13,4,R11&lt;='分位数阈值'!$E$13,3,R11&lt;='分位数阈值'!$D$13,2,TRUE,1)))</f>
        <v/>
      </c>
      <c r="AN11" s="23">
        <f>IF(S11="","",IF('分位数阈值'!$D$14="","",IFS(S11&lt;='分位数阈值'!$G$14,5,S11&lt;='分位数阈值'!$F$14,4,S11&lt;='分位数阈值'!$E$14,3,S11&lt;='分位数阈值'!$D$14,2,TRUE,1)))</f>
        <v/>
      </c>
      <c r="AO11" s="23">
        <f>IF(T11="","",IF('分位数阈值'!$D$15="","",IFS(T11&lt;='分位数阈值'!$G$15,5,T11&lt;='分位数阈值'!$F$15,4,T11&lt;='分位数阈值'!$E$15,3,T11&lt;='分位数阈值'!$D$15,2,TRUE,1)))</f>
        <v/>
      </c>
      <c r="AP11" s="23">
        <f>IF(U11="","",IF(U11=1,5,1))</f>
        <v/>
      </c>
      <c r="AQ11" s="23">
        <f>IF(V11="","",V11)</f>
        <v/>
      </c>
      <c r="AR11" s="23">
        <f>IF(W11="","",IF('分位数阈值'!$D$16="","",IFS(W11&lt;='分位数阈值'!$G$16,5,W11&lt;='分位数阈值'!$F$16,4,W11&lt;='分位数阈值'!$E$16,3,W11&lt;='分位数阈值'!$D$16,2,TRUE,1)))</f>
        <v/>
      </c>
      <c r="AS11" s="23">
        <f>IF(X11="","",X11)</f>
        <v/>
      </c>
      <c r="AT11" s="23">
        <f>IF(Y11="","",Y11)</f>
        <v/>
      </c>
      <c r="AU11" s="10">
        <f>IF($A11="","",IF(OR(Z11=1,AR11=1,AJ11=1),"淘汰","通过"))</f>
        <v/>
      </c>
      <c r="AV11" s="10">
        <f>IF($A11="","",IF(OR(AA11=1,AR11=1,AND(AK11=1,AI11=1),AO11=1),"淘汰","通过"))</f>
        <v/>
      </c>
      <c r="AW11" s="24">
        <f>IF($A11="","",IF(AU11="淘汰","",ROUND(SUMPRODUCT(Z11:AT11,Z$2:AT$2)/5,1)))</f>
        <v/>
      </c>
      <c r="AX11" s="24">
        <f>IF($A11="","",IF(AV11="淘汰","",ROUND(SUMPRODUCT(Z11:AT11,Z$3:AT$3)/5,1)))</f>
        <v/>
      </c>
    </row>
    <row r="12">
      <c r="A12" s="22" t="inlineStr">
        <is>
          <t>OSK008</t>
        </is>
      </c>
      <c r="B12" s="20" t="inlineStr">
        <is>
          <t>大阪府大阪市城東区蒲生四丁目</t>
        </is>
      </c>
      <c r="C12" s="22" t="n">
        <v>34.693162</v>
      </c>
      <c r="D12" s="22" t="n">
        <v>135.545036</v>
      </c>
      <c r="E12" s="22" t="n">
        <v>13418</v>
      </c>
      <c r="F12" s="22" t="n">
        <v>106026</v>
      </c>
      <c r="G12" s="21" t="n">
        <v>0.7582</v>
      </c>
      <c r="H12" s="21" t="n">
        <v>0.6891</v>
      </c>
      <c r="I12" s="21" t="n">
        <v>0.7163</v>
      </c>
      <c r="J12" s="21" t="n">
        <v>0.7</v>
      </c>
      <c r="K12" s="21" t="n">
        <v>0.2169</v>
      </c>
      <c r="L12" s="22" t="n">
        <v>2.54</v>
      </c>
      <c r="M12" s="22" t="n">
        <v>2</v>
      </c>
      <c r="N12" s="22" t="n">
        <v>21</v>
      </c>
      <c r="O12" s="22" t="n">
        <v>308</v>
      </c>
      <c r="P12" s="22" t="n">
        <v>0</v>
      </c>
      <c r="Q12" s="22" t="n">
        <v>0</v>
      </c>
      <c r="R12" s="22" t="n">
        <v>554</v>
      </c>
      <c r="S12" s="22" t="n">
        <v>236</v>
      </c>
      <c r="T12" s="22" t="n">
        <v>106</v>
      </c>
      <c r="U12" s="22" t="n">
        <v>0</v>
      </c>
      <c r="V12" s="22" t="n">
        <v>4</v>
      </c>
      <c r="W12" s="22" t="n">
        <v>22538</v>
      </c>
      <c r="X12" s="22" t="n">
        <v>4</v>
      </c>
      <c r="Y12" s="22" t="n">
        <v>4</v>
      </c>
      <c r="Z12" s="23">
        <f>IF(E12="","",IF('分位数阈值'!$D$2="","",IFS(E12&gt;='分位数阈值'!$D$2,5,E12&gt;='分位数阈值'!$E$2,4,E12&gt;='分位数阈值'!$F$2,3,E12&gt;='分位数阈值'!$G$2,2,TRUE,1)))</f>
        <v/>
      </c>
      <c r="AA12" s="23">
        <f>IF(F12="","",IF('分位数阈值'!$D$3="","",IFS(F12&gt;='分位数阈值'!$D$3,5,F12&gt;='分位数阈值'!$E$3,4,F12&gt;='分位数阈值'!$F$3,3,F12&gt;='分位数阈值'!$G$3,2,TRUE,1)))</f>
        <v/>
      </c>
      <c r="AB12" s="23">
        <f>IF(G12="","",IF('分位数阈值'!$D$4="","",IFS(G12&gt;='分位数阈值'!$D$4,5,G12&gt;='分位数阈值'!$E$4,4,G12&gt;='分位数阈值'!$F$4,3,G12&gt;='分位数阈值'!$G$4,2,TRUE,1)))</f>
        <v/>
      </c>
      <c r="AC12" s="23">
        <f>IF(H12="","",IF('分位数阈值'!$D$5="","",IFS(H12&gt;='分位数阈值'!$D$5,5,H12&gt;='分位数阈值'!$E$5,4,H12&gt;='分位数阈值'!$F$5,3,H12&gt;='分位数阈值'!$G$5,2,TRUE,1)))</f>
        <v/>
      </c>
      <c r="AD12" s="23">
        <f>IF(I12="","",IF('分位数阈值'!$D$6="","",IFS(I12&gt;='分位数阈值'!$D$6,5,I12&gt;='分位数阈值'!$E$6,4,I12&gt;='分位数阈值'!$F$6,3,I12&gt;='分位数阈值'!$G$6,2,TRUE,1)))</f>
        <v/>
      </c>
      <c r="AE12" s="23">
        <f>IF(J12="","",IF('分位数阈值'!$D$7="","",IFS(J12&gt;='分位数阈值'!$D$7,5,J12&gt;='分位数阈值'!$E$7,4,J12&gt;='分位数阈值'!$F$7,3,J12&gt;='分位数阈值'!$G$7,2,TRUE,1)))</f>
        <v/>
      </c>
      <c r="AF12" s="23">
        <f>IF(K12="","",IF('分位数阈值'!$D$8="","",IFS(K12&gt;='分位数阈值'!$D$8,5,K12&gt;='分位数阈值'!$E$8,4,K12&gt;='分位数阈值'!$F$8,3,K12&gt;='分位数阈值'!$G$8,2,TRUE,1)))</f>
        <v/>
      </c>
      <c r="AG12" s="23">
        <f>IF(L12="","",IF('分位数阈值'!$D$9="","",IFS(L12&gt;='分位数阈值'!$D$9,5,L12&gt;='分位数阈值'!$E$9,4,L12&gt;='分位数阈值'!$F$9,3,L12&gt;='分位数阈值'!$G$9,2,TRUE,1)))</f>
        <v/>
      </c>
      <c r="AH12" s="23">
        <f>IF(M12="","",IF('分位数阈值'!$D$10="","",IFS(M12&lt;='分位数阈值'!$G$10,5,M12&lt;='分位数阈值'!$F$10,4,M12&lt;='分位数阈值'!$E$10,3,M12&lt;='分位数阈值'!$D$10,2,TRUE,1)))</f>
        <v/>
      </c>
      <c r="AI12" s="23">
        <f>IF(N12="","",IF('分位数阈值'!$D$11="","",IFS(N12&lt;='分位数阈值'!$G$11,5,N12&lt;='分位数阈值'!$F$11,4,N12&lt;='分位数阈值'!$E$11,3,N12&lt;='分位数阈值'!$D$11,2,TRUE,1)))</f>
        <v/>
      </c>
      <c r="AJ12" s="23">
        <f>IF(P12="","",IF(P12=1,1,5))</f>
        <v/>
      </c>
      <c r="AK12" s="23">
        <f>IF(Q12="","",IF(Q12=1,1,5))</f>
        <v/>
      </c>
      <c r="AL12" s="23">
        <f>IF(O12="","",IF('分位数阈值'!$D$12="","",IFS(O12&gt;='分位数阈值'!$D$12,5,O12&gt;='分位数阈值'!$E$12,4,O12&gt;='分位数阈值'!$F$12,3,O12&gt;='分位数阈值'!$G$12,2,TRUE,1)))</f>
        <v/>
      </c>
      <c r="AM12" s="23">
        <f>IF(R12="","",IF('分位数阈值'!$D$13="","",IFS(R12&lt;='分位数阈值'!$G$13,5,R12&lt;='分位数阈值'!$F$13,4,R12&lt;='分位数阈值'!$E$13,3,R12&lt;='分位数阈值'!$D$13,2,TRUE,1)))</f>
        <v/>
      </c>
      <c r="AN12" s="23">
        <f>IF(S12="","",IF('分位数阈值'!$D$14="","",IFS(S12&lt;='分位数阈值'!$G$14,5,S12&lt;='分位数阈值'!$F$14,4,S12&lt;='分位数阈值'!$E$14,3,S12&lt;='分位数阈值'!$D$14,2,TRUE,1)))</f>
        <v/>
      </c>
      <c r="AO12" s="23">
        <f>IF(T12="","",IF('分位数阈值'!$D$15="","",IFS(T12&lt;='分位数阈值'!$G$15,5,T12&lt;='分位数阈值'!$F$15,4,T12&lt;='分位数阈值'!$E$15,3,T12&lt;='分位数阈值'!$D$15,2,TRUE,1)))</f>
        <v/>
      </c>
      <c r="AP12" s="23">
        <f>IF(U12="","",IF(U12=1,5,1))</f>
        <v/>
      </c>
      <c r="AQ12" s="23">
        <f>IF(V12="","",V12)</f>
        <v/>
      </c>
      <c r="AR12" s="23">
        <f>IF(W12="","",IF('分位数阈值'!$D$16="","",IFS(W12&lt;='分位数阈值'!$G$16,5,W12&lt;='分位数阈值'!$F$16,4,W12&lt;='分位数阈值'!$E$16,3,W12&lt;='分位数阈值'!$D$16,2,TRUE,1)))</f>
        <v/>
      </c>
      <c r="AS12" s="23">
        <f>IF(X12="","",X12)</f>
        <v/>
      </c>
      <c r="AT12" s="23">
        <f>IF(Y12="","",Y12)</f>
        <v/>
      </c>
      <c r="AU12" s="10">
        <f>IF($A12="","",IF(OR(Z12=1,AR12=1,AJ12=1),"淘汰","通过"))</f>
        <v/>
      </c>
      <c r="AV12" s="10">
        <f>IF($A12="","",IF(OR(AA12=1,AR12=1,AND(AK12=1,AI12=1),AO12=1),"淘汰","通过"))</f>
        <v/>
      </c>
      <c r="AW12" s="24">
        <f>IF($A12="","",IF(AU12="淘汰","",ROUND(SUMPRODUCT(Z12:AT12,Z$2:AT$2)/5,1)))</f>
        <v/>
      </c>
      <c r="AX12" s="24">
        <f>IF($A12="","",IF(AV12="淘汰","",ROUND(SUMPRODUCT(Z12:AT12,Z$3:AT$3)/5,1)))</f>
        <v/>
      </c>
    </row>
    <row r="13">
      <c r="A13" s="22" t="inlineStr">
        <is>
          <t>OSK009</t>
        </is>
      </c>
      <c r="B13" s="20" t="inlineStr">
        <is>
          <t>大阪府大阪市東成区大今里西二丁目</t>
        </is>
      </c>
      <c r="C13" s="22" t="n">
        <v>34.670313</v>
      </c>
      <c r="D13" s="22" t="n">
        <v>135.547762</v>
      </c>
      <c r="E13" s="22" t="n">
        <v>11818</v>
      </c>
      <c r="F13" s="22" t="n">
        <v>113751</v>
      </c>
      <c r="G13" s="21" t="n">
        <v>0.7482</v>
      </c>
      <c r="H13" s="21" t="n">
        <v>0.5547</v>
      </c>
      <c r="I13" s="21" t="n">
        <v>0.7437</v>
      </c>
      <c r="J13" s="21" t="n">
        <v>0.7442</v>
      </c>
      <c r="K13" s="21" t="n">
        <v>0.1922</v>
      </c>
      <c r="L13" s="22" t="n">
        <v>2.7</v>
      </c>
      <c r="M13" s="22" t="n">
        <v>2</v>
      </c>
      <c r="N13" s="22" t="n">
        <v>21</v>
      </c>
      <c r="O13" s="22" t="n">
        <v>266</v>
      </c>
      <c r="P13" s="22" t="n">
        <v>0</v>
      </c>
      <c r="Q13" s="22" t="n">
        <v>0</v>
      </c>
      <c r="R13" s="22" t="n">
        <v>175</v>
      </c>
      <c r="S13" s="22" t="n">
        <v>600</v>
      </c>
      <c r="T13" s="22" t="n">
        <v>306</v>
      </c>
      <c r="U13" s="22" t="n">
        <v>0</v>
      </c>
      <c r="V13" s="22" t="n">
        <v>5</v>
      </c>
      <c r="W13" s="22" t="n">
        <v>27882</v>
      </c>
      <c r="X13" s="22" t="n">
        <v>3</v>
      </c>
      <c r="Y13" s="22" t="n">
        <v>4</v>
      </c>
      <c r="Z13" s="23">
        <f>IF(E13="","",IF('分位数阈值'!$D$2="","",IFS(E13&gt;='分位数阈值'!$D$2,5,E13&gt;='分位数阈值'!$E$2,4,E13&gt;='分位数阈值'!$F$2,3,E13&gt;='分位数阈值'!$G$2,2,TRUE,1)))</f>
        <v/>
      </c>
      <c r="AA13" s="23">
        <f>IF(F13="","",IF('分位数阈值'!$D$3="","",IFS(F13&gt;='分位数阈值'!$D$3,5,F13&gt;='分位数阈值'!$E$3,4,F13&gt;='分位数阈值'!$F$3,3,F13&gt;='分位数阈值'!$G$3,2,TRUE,1)))</f>
        <v/>
      </c>
      <c r="AB13" s="23">
        <f>IF(G13="","",IF('分位数阈值'!$D$4="","",IFS(G13&gt;='分位数阈值'!$D$4,5,G13&gt;='分位数阈值'!$E$4,4,G13&gt;='分位数阈值'!$F$4,3,G13&gt;='分位数阈值'!$G$4,2,TRUE,1)))</f>
        <v/>
      </c>
      <c r="AC13" s="23">
        <f>IF(H13="","",IF('分位数阈值'!$D$5="","",IFS(H13&gt;='分位数阈值'!$D$5,5,H13&gt;='分位数阈值'!$E$5,4,H13&gt;='分位数阈值'!$F$5,3,H13&gt;='分位数阈值'!$G$5,2,TRUE,1)))</f>
        <v/>
      </c>
      <c r="AD13" s="23">
        <f>IF(I13="","",IF('分位数阈值'!$D$6="","",IFS(I13&gt;='分位数阈值'!$D$6,5,I13&gt;='分位数阈值'!$E$6,4,I13&gt;='分位数阈值'!$F$6,3,I13&gt;='分位数阈值'!$G$6,2,TRUE,1)))</f>
        <v/>
      </c>
      <c r="AE13" s="23">
        <f>IF(J13="","",IF('分位数阈值'!$D$7="","",IFS(J13&gt;='分位数阈值'!$D$7,5,J13&gt;='分位数阈值'!$E$7,4,J13&gt;='分位数阈值'!$F$7,3,J13&gt;='分位数阈值'!$G$7,2,TRUE,1)))</f>
        <v/>
      </c>
      <c r="AF13" s="23">
        <f>IF(K13="","",IF('分位数阈值'!$D$8="","",IFS(K13&gt;='分位数阈值'!$D$8,5,K13&gt;='分位数阈值'!$E$8,4,K13&gt;='分位数阈值'!$F$8,3,K13&gt;='分位数阈值'!$G$8,2,TRUE,1)))</f>
        <v/>
      </c>
      <c r="AG13" s="23">
        <f>IF(L13="","",IF('分位数阈值'!$D$9="","",IFS(L13&gt;='分位数阈值'!$D$9,5,L13&gt;='分位数阈值'!$E$9,4,L13&gt;='分位数阈值'!$F$9,3,L13&gt;='分位数阈值'!$G$9,2,TRUE,1)))</f>
        <v/>
      </c>
      <c r="AH13" s="23">
        <f>IF(M13="","",IF('分位数阈值'!$D$10="","",IFS(M13&lt;='分位数阈值'!$G$10,5,M13&lt;='分位数阈值'!$F$10,4,M13&lt;='分位数阈值'!$E$10,3,M13&lt;='分位数阈值'!$D$10,2,TRUE,1)))</f>
        <v/>
      </c>
      <c r="AI13" s="23">
        <f>IF(N13="","",IF('分位数阈值'!$D$11="","",IFS(N13&lt;='分位数阈值'!$G$11,5,N13&lt;='分位数阈值'!$F$11,4,N13&lt;='分位数阈值'!$E$11,3,N13&lt;='分位数阈值'!$D$11,2,TRUE,1)))</f>
        <v/>
      </c>
      <c r="AJ13" s="23">
        <f>IF(P13="","",IF(P13=1,1,5))</f>
        <v/>
      </c>
      <c r="AK13" s="23">
        <f>IF(Q13="","",IF(Q13=1,1,5))</f>
        <v/>
      </c>
      <c r="AL13" s="23">
        <f>IF(O13="","",IF('分位数阈值'!$D$12="","",IFS(O13&gt;='分位数阈值'!$D$12,5,O13&gt;='分位数阈值'!$E$12,4,O13&gt;='分位数阈值'!$F$12,3,O13&gt;='分位数阈值'!$G$12,2,TRUE,1)))</f>
        <v/>
      </c>
      <c r="AM13" s="23">
        <f>IF(R13="","",IF('分位数阈值'!$D$13="","",IFS(R13&lt;='分位数阈值'!$G$13,5,R13&lt;='分位数阈值'!$F$13,4,R13&lt;='分位数阈值'!$E$13,3,R13&lt;='分位数阈值'!$D$13,2,TRUE,1)))</f>
        <v/>
      </c>
      <c r="AN13" s="23">
        <f>IF(S13="","",IF('分位数阈值'!$D$14="","",IFS(S13&lt;='分位数阈值'!$G$14,5,S13&lt;='分位数阈值'!$F$14,4,S13&lt;='分位数阈值'!$E$14,3,S13&lt;='分位数阈值'!$D$14,2,TRUE,1)))</f>
        <v/>
      </c>
      <c r="AO13" s="23">
        <f>IF(T13="","",IF('分位数阈值'!$D$15="","",IFS(T13&lt;='分位数阈值'!$G$15,5,T13&lt;='分位数阈值'!$F$15,4,T13&lt;='分位数阈值'!$E$15,3,T13&lt;='分位数阈值'!$D$15,2,TRUE,1)))</f>
        <v/>
      </c>
      <c r="AP13" s="23">
        <f>IF(U13="","",IF(U13=1,5,1))</f>
        <v/>
      </c>
      <c r="AQ13" s="23">
        <f>IF(V13="","",V13)</f>
        <v/>
      </c>
      <c r="AR13" s="23">
        <f>IF(W13="","",IF('分位数阈值'!$D$16="","",IFS(W13&lt;='分位数阈值'!$G$16,5,W13&lt;='分位数阈值'!$F$16,4,W13&lt;='分位数阈值'!$E$16,3,W13&lt;='分位数阈值'!$D$16,2,TRUE,1)))</f>
        <v/>
      </c>
      <c r="AS13" s="23">
        <f>IF(X13="","",X13)</f>
        <v/>
      </c>
      <c r="AT13" s="23">
        <f>IF(Y13="","",Y13)</f>
        <v/>
      </c>
      <c r="AU13" s="10">
        <f>IF($A13="","",IF(OR(Z13=1,AR13=1,AJ13=1),"淘汰","通过"))</f>
        <v/>
      </c>
      <c r="AV13" s="10">
        <f>IF($A13="","",IF(OR(AA13=1,AR13=1,AND(AK13=1,AI13=1),AO13=1),"淘汰","通过"))</f>
        <v/>
      </c>
      <c r="AW13" s="24">
        <f>IF($A13="","",IF(AU13="淘汰","",ROUND(SUMPRODUCT(Z13:AT13,Z$2:AT$2)/5,1)))</f>
        <v/>
      </c>
      <c r="AX13" s="24">
        <f>IF($A13="","",IF(AV13="淘汰","",ROUND(SUMPRODUCT(Z13:AT13,Z$3:AT$3)/5,1)))</f>
        <v/>
      </c>
    </row>
    <row r="14">
      <c r="A14" s="22" t="inlineStr">
        <is>
          <t>OSK010</t>
        </is>
      </c>
      <c r="B14" s="20" t="inlineStr">
        <is>
          <t>大阪府大阪市生野区鶴橋二丁目</t>
        </is>
      </c>
      <c r="C14" s="22" t="n">
        <v>34.664178</v>
      </c>
      <c r="D14" s="22" t="n">
        <v>135.534106</v>
      </c>
      <c r="E14" s="22" t="n">
        <v>9410</v>
      </c>
      <c r="F14" s="22" t="n">
        <v>116528</v>
      </c>
      <c r="G14" s="21" t="n">
        <v>0.7766</v>
      </c>
      <c r="H14" s="21" t="n">
        <v>0.5583</v>
      </c>
      <c r="I14" s="21" t="n">
        <v>0.8803</v>
      </c>
      <c r="J14" s="21" t="n">
        <v>0.7456</v>
      </c>
      <c r="K14" s="21" t="n">
        <v>0.1923</v>
      </c>
      <c r="L14" s="22" t="n">
        <v>4.39</v>
      </c>
      <c r="M14" s="22" t="n">
        <v>5</v>
      </c>
      <c r="N14" s="22" t="n">
        <v>17</v>
      </c>
      <c r="O14" s="22" t="n">
        <v>357</v>
      </c>
      <c r="P14" s="22" t="n">
        <v>1</v>
      </c>
      <c r="Q14" s="22" t="n">
        <v>1</v>
      </c>
      <c r="R14" s="22" t="n">
        <v>634</v>
      </c>
      <c r="S14" s="22" t="n">
        <v>411</v>
      </c>
      <c r="T14" s="22" t="n">
        <v>226</v>
      </c>
      <c r="U14" s="22" t="n">
        <v>0</v>
      </c>
      <c r="V14" s="22" t="n">
        <v>3</v>
      </c>
      <c r="W14" s="22" t="n">
        <v>24178</v>
      </c>
      <c r="X14" s="22" t="n">
        <v>4</v>
      </c>
      <c r="Y14" s="22" t="n">
        <v>4</v>
      </c>
      <c r="Z14" s="23">
        <f>IF(E14="","",IF('分位数阈值'!$D$2="","",IFS(E14&gt;='分位数阈值'!$D$2,5,E14&gt;='分位数阈值'!$E$2,4,E14&gt;='分位数阈值'!$F$2,3,E14&gt;='分位数阈值'!$G$2,2,TRUE,1)))</f>
        <v/>
      </c>
      <c r="AA14" s="23">
        <f>IF(F14="","",IF('分位数阈值'!$D$3="","",IFS(F14&gt;='分位数阈值'!$D$3,5,F14&gt;='分位数阈值'!$E$3,4,F14&gt;='分位数阈值'!$F$3,3,F14&gt;='分位数阈值'!$G$3,2,TRUE,1)))</f>
        <v/>
      </c>
      <c r="AB14" s="23">
        <f>IF(G14="","",IF('分位数阈值'!$D$4="","",IFS(G14&gt;='分位数阈值'!$D$4,5,G14&gt;='分位数阈值'!$E$4,4,G14&gt;='分位数阈值'!$F$4,3,G14&gt;='分位数阈值'!$G$4,2,TRUE,1)))</f>
        <v/>
      </c>
      <c r="AC14" s="23">
        <f>IF(H14="","",IF('分位数阈值'!$D$5="","",IFS(H14&gt;='分位数阈值'!$D$5,5,H14&gt;='分位数阈值'!$E$5,4,H14&gt;='分位数阈值'!$F$5,3,H14&gt;='分位数阈值'!$G$5,2,TRUE,1)))</f>
        <v/>
      </c>
      <c r="AD14" s="23">
        <f>IF(I14="","",IF('分位数阈值'!$D$6="","",IFS(I14&gt;='分位数阈值'!$D$6,5,I14&gt;='分位数阈值'!$E$6,4,I14&gt;='分位数阈值'!$F$6,3,I14&gt;='分位数阈值'!$G$6,2,TRUE,1)))</f>
        <v/>
      </c>
      <c r="AE14" s="23">
        <f>IF(J14="","",IF('分位数阈值'!$D$7="","",IFS(J14&gt;='分位数阈值'!$D$7,5,J14&gt;='分位数阈值'!$E$7,4,J14&gt;='分位数阈值'!$F$7,3,J14&gt;='分位数阈值'!$G$7,2,TRUE,1)))</f>
        <v/>
      </c>
      <c r="AF14" s="23">
        <f>IF(K14="","",IF('分位数阈值'!$D$8="","",IFS(K14&gt;='分位数阈值'!$D$8,5,K14&gt;='分位数阈值'!$E$8,4,K14&gt;='分位数阈值'!$F$8,3,K14&gt;='分位数阈值'!$G$8,2,TRUE,1)))</f>
        <v/>
      </c>
      <c r="AG14" s="23">
        <f>IF(L14="","",IF('分位数阈值'!$D$9="","",IFS(L14&gt;='分位数阈值'!$D$9,5,L14&gt;='分位数阈值'!$E$9,4,L14&gt;='分位数阈值'!$F$9,3,L14&gt;='分位数阈值'!$G$9,2,TRUE,1)))</f>
        <v/>
      </c>
      <c r="AH14" s="23">
        <f>IF(M14="","",IF('分位数阈值'!$D$10="","",IFS(M14&lt;='分位数阈值'!$G$10,5,M14&lt;='分位数阈值'!$F$10,4,M14&lt;='分位数阈值'!$E$10,3,M14&lt;='分位数阈值'!$D$10,2,TRUE,1)))</f>
        <v/>
      </c>
      <c r="AI14" s="23">
        <f>IF(N14="","",IF('分位数阈值'!$D$11="","",IFS(N14&lt;='分位数阈值'!$G$11,5,N14&lt;='分位数阈值'!$F$11,4,N14&lt;='分位数阈值'!$E$11,3,N14&lt;='分位数阈值'!$D$11,2,TRUE,1)))</f>
        <v/>
      </c>
      <c r="AJ14" s="23">
        <f>IF(P14="","",IF(P14=1,1,5))</f>
        <v/>
      </c>
      <c r="AK14" s="23">
        <f>IF(Q14="","",IF(Q14=1,1,5))</f>
        <v/>
      </c>
      <c r="AL14" s="23">
        <f>IF(O14="","",IF('分位数阈值'!$D$12="","",IFS(O14&gt;='分位数阈值'!$D$12,5,O14&gt;='分位数阈值'!$E$12,4,O14&gt;='分位数阈值'!$F$12,3,O14&gt;='分位数阈值'!$G$12,2,TRUE,1)))</f>
        <v/>
      </c>
      <c r="AM14" s="23">
        <f>IF(R14="","",IF('分位数阈值'!$D$13="","",IFS(R14&lt;='分位数阈值'!$G$13,5,R14&lt;='分位数阈值'!$F$13,4,R14&lt;='分位数阈值'!$E$13,3,R14&lt;='分位数阈值'!$D$13,2,TRUE,1)))</f>
        <v/>
      </c>
      <c r="AN14" s="23">
        <f>IF(S14="","",IF('分位数阈值'!$D$14="","",IFS(S14&lt;='分位数阈值'!$G$14,5,S14&lt;='分位数阈值'!$F$14,4,S14&lt;='分位数阈值'!$E$14,3,S14&lt;='分位数阈值'!$D$14,2,TRUE,1)))</f>
        <v/>
      </c>
      <c r="AO14" s="23">
        <f>IF(T14="","",IF('分位数阈值'!$D$15="","",IFS(T14&lt;='分位数阈值'!$G$15,5,T14&lt;='分位数阈值'!$F$15,4,T14&lt;='分位数阈值'!$E$15,3,T14&lt;='分位数阈值'!$D$15,2,TRUE,1)))</f>
        <v/>
      </c>
      <c r="AP14" s="23">
        <f>IF(U14="","",IF(U14=1,5,1))</f>
        <v/>
      </c>
      <c r="AQ14" s="23">
        <f>IF(V14="","",V14)</f>
        <v/>
      </c>
      <c r="AR14" s="23">
        <f>IF(W14="","",IF('分位数阈值'!$D$16="","",IFS(W14&lt;='分位数阈值'!$G$16,5,W14&lt;='分位数阈值'!$F$16,4,W14&lt;='分位数阈值'!$E$16,3,W14&lt;='分位数阈值'!$D$16,2,TRUE,1)))</f>
        <v/>
      </c>
      <c r="AS14" s="23">
        <f>IF(X14="","",X14)</f>
        <v/>
      </c>
      <c r="AT14" s="23">
        <f>IF(Y14="","",Y14)</f>
        <v/>
      </c>
      <c r="AU14" s="10">
        <f>IF($A14="","",IF(OR(Z14=1,AR14=1,AJ14=1),"淘汰","通过"))</f>
        <v/>
      </c>
      <c r="AV14" s="10">
        <f>IF($A14="","",IF(OR(AA14=1,AR14=1,AND(AK14=1,AI14=1),AO14=1),"淘汰","通过"))</f>
        <v/>
      </c>
      <c r="AW14" s="24">
        <f>IF($A14="","",IF(AU14="淘汰","",ROUND(SUMPRODUCT(Z14:AT14,Z$2:AT$2)/5,1)))</f>
        <v/>
      </c>
      <c r="AX14" s="24">
        <f>IF($A14="","",IF(AV14="淘汰","",ROUND(SUMPRODUCT(Z14:AT14,Z$3:AT$3)/5,1)))</f>
        <v/>
      </c>
    </row>
    <row r="15">
      <c r="A15" s="22" t="inlineStr">
        <is>
          <t>OSK011</t>
        </is>
      </c>
      <c r="B15" s="20" t="inlineStr">
        <is>
          <t>大阪府大阪市阿倍野区阿倍野筋一丁目</t>
        </is>
      </c>
      <c r="C15" s="22" t="n">
        <v>34.646604</v>
      </c>
      <c r="D15" s="22" t="n">
        <v>135.510974</v>
      </c>
      <c r="E15" s="22" t="n">
        <v>9561</v>
      </c>
      <c r="F15" s="22" t="n">
        <v>103008</v>
      </c>
      <c r="G15" s="21" t="n">
        <v>0.6869</v>
      </c>
      <c r="H15" s="21" t="n">
        <v>0.6485</v>
      </c>
      <c r="I15" s="21" t="n">
        <v>0.7541</v>
      </c>
      <c r="J15" s="21" t="n">
        <v>0.6752</v>
      </c>
      <c r="K15" s="21" t="n">
        <v>0.239</v>
      </c>
      <c r="L15" s="22" t="n">
        <v>2.62</v>
      </c>
      <c r="M15" s="22" t="n">
        <v>3</v>
      </c>
      <c r="N15" s="22" t="n">
        <v>17</v>
      </c>
      <c r="O15" s="22" t="n">
        <v>258</v>
      </c>
      <c r="P15" s="22" t="n">
        <v>0</v>
      </c>
      <c r="Q15" s="22" t="n">
        <v>0</v>
      </c>
      <c r="R15" s="22" t="n">
        <v>617</v>
      </c>
      <c r="S15" s="22" t="n">
        <v>242</v>
      </c>
      <c r="T15" s="22" t="n">
        <v>273</v>
      </c>
      <c r="U15" s="22" t="n">
        <v>1</v>
      </c>
      <c r="V15" s="22" t="n">
        <v>3</v>
      </c>
      <c r="W15" s="22" t="n">
        <v>25404</v>
      </c>
      <c r="X15" s="22" t="n">
        <v>3</v>
      </c>
      <c r="Y15" s="22" t="n">
        <v>3</v>
      </c>
      <c r="Z15" s="23">
        <f>IF(E15="","",IF('分位数阈值'!$D$2="","",IFS(E15&gt;='分位数阈值'!$D$2,5,E15&gt;='分位数阈值'!$E$2,4,E15&gt;='分位数阈值'!$F$2,3,E15&gt;='分位数阈值'!$G$2,2,TRUE,1)))</f>
        <v/>
      </c>
      <c r="AA15" s="23">
        <f>IF(F15="","",IF('分位数阈值'!$D$3="","",IFS(F15&gt;='分位数阈值'!$D$3,5,F15&gt;='分位数阈值'!$E$3,4,F15&gt;='分位数阈值'!$F$3,3,F15&gt;='分位数阈值'!$G$3,2,TRUE,1)))</f>
        <v/>
      </c>
      <c r="AB15" s="23">
        <f>IF(G15="","",IF('分位数阈值'!$D$4="","",IFS(G15&gt;='分位数阈值'!$D$4,5,G15&gt;='分位数阈值'!$E$4,4,G15&gt;='分位数阈值'!$F$4,3,G15&gt;='分位数阈值'!$G$4,2,TRUE,1)))</f>
        <v/>
      </c>
      <c r="AC15" s="23">
        <f>IF(H15="","",IF('分位数阈值'!$D$5="","",IFS(H15&gt;='分位数阈值'!$D$5,5,H15&gt;='分位数阈值'!$E$5,4,H15&gt;='分位数阈值'!$F$5,3,H15&gt;='分位数阈值'!$G$5,2,TRUE,1)))</f>
        <v/>
      </c>
      <c r="AD15" s="23">
        <f>IF(I15="","",IF('分位数阈值'!$D$6="","",IFS(I15&gt;='分位数阈值'!$D$6,5,I15&gt;='分位数阈值'!$E$6,4,I15&gt;='分位数阈值'!$F$6,3,I15&gt;='分位数阈值'!$G$6,2,TRUE,1)))</f>
        <v/>
      </c>
      <c r="AE15" s="23">
        <f>IF(J15="","",IF('分位数阈值'!$D$7="","",IFS(J15&gt;='分位数阈值'!$D$7,5,J15&gt;='分位数阈值'!$E$7,4,J15&gt;='分位数阈值'!$F$7,3,J15&gt;='分位数阈值'!$G$7,2,TRUE,1)))</f>
        <v/>
      </c>
      <c r="AF15" s="23">
        <f>IF(K15="","",IF('分位数阈值'!$D$8="","",IFS(K15&gt;='分位数阈值'!$D$8,5,K15&gt;='分位数阈值'!$E$8,4,K15&gt;='分位数阈值'!$F$8,3,K15&gt;='分位数阈值'!$G$8,2,TRUE,1)))</f>
        <v/>
      </c>
      <c r="AG15" s="23">
        <f>IF(L15="","",IF('分位数阈值'!$D$9="","",IFS(L15&gt;='分位数阈值'!$D$9,5,L15&gt;='分位数阈值'!$E$9,4,L15&gt;='分位数阈值'!$F$9,3,L15&gt;='分位数阈值'!$G$9,2,TRUE,1)))</f>
        <v/>
      </c>
      <c r="AH15" s="23">
        <f>IF(M15="","",IF('分位数阈值'!$D$10="","",IFS(M15&lt;='分位数阈值'!$G$10,5,M15&lt;='分位数阈值'!$F$10,4,M15&lt;='分位数阈值'!$E$10,3,M15&lt;='分位数阈值'!$D$10,2,TRUE,1)))</f>
        <v/>
      </c>
      <c r="AI15" s="23">
        <f>IF(N15="","",IF('分位数阈值'!$D$11="","",IFS(N15&lt;='分位数阈值'!$G$11,5,N15&lt;='分位数阈值'!$F$11,4,N15&lt;='分位数阈值'!$E$11,3,N15&lt;='分位数阈值'!$D$11,2,TRUE,1)))</f>
        <v/>
      </c>
      <c r="AJ15" s="23">
        <f>IF(P15="","",IF(P15=1,1,5))</f>
        <v/>
      </c>
      <c r="AK15" s="23">
        <f>IF(Q15="","",IF(Q15=1,1,5))</f>
        <v/>
      </c>
      <c r="AL15" s="23">
        <f>IF(O15="","",IF('分位数阈值'!$D$12="","",IFS(O15&gt;='分位数阈值'!$D$12,5,O15&gt;='分位数阈值'!$E$12,4,O15&gt;='分位数阈值'!$F$12,3,O15&gt;='分位数阈值'!$G$12,2,TRUE,1)))</f>
        <v/>
      </c>
      <c r="AM15" s="23">
        <f>IF(R15="","",IF('分位数阈值'!$D$13="","",IFS(R15&lt;='分位数阈值'!$G$13,5,R15&lt;='分位数阈值'!$F$13,4,R15&lt;='分位数阈值'!$E$13,3,R15&lt;='分位数阈值'!$D$13,2,TRUE,1)))</f>
        <v/>
      </c>
      <c r="AN15" s="23">
        <f>IF(S15="","",IF('分位数阈值'!$D$14="","",IFS(S15&lt;='分位数阈值'!$G$14,5,S15&lt;='分位数阈值'!$F$14,4,S15&lt;='分位数阈值'!$E$14,3,S15&lt;='分位数阈值'!$D$14,2,TRUE,1)))</f>
        <v/>
      </c>
      <c r="AO15" s="23">
        <f>IF(T15="","",IF('分位数阈值'!$D$15="","",IFS(T15&lt;='分位数阈值'!$G$15,5,T15&lt;='分位数阈值'!$F$15,4,T15&lt;='分位数阈值'!$E$15,3,T15&lt;='分位数阈值'!$D$15,2,TRUE,1)))</f>
        <v/>
      </c>
      <c r="AP15" s="23">
        <f>IF(U15="","",IF(U15=1,5,1))</f>
        <v/>
      </c>
      <c r="AQ15" s="23">
        <f>IF(V15="","",V15)</f>
        <v/>
      </c>
      <c r="AR15" s="23">
        <f>IF(W15="","",IF('分位数阈值'!$D$16="","",IFS(W15&lt;='分位数阈值'!$G$16,5,W15&lt;='分位数阈值'!$F$16,4,W15&lt;='分位数阈值'!$E$16,3,W15&lt;='分位数阈值'!$D$16,2,TRUE,1)))</f>
        <v/>
      </c>
      <c r="AS15" s="23">
        <f>IF(X15="","",X15)</f>
        <v/>
      </c>
      <c r="AT15" s="23">
        <f>IF(Y15="","",Y15)</f>
        <v/>
      </c>
      <c r="AU15" s="10">
        <f>IF($A15="","",IF(OR(Z15=1,AR15=1,AJ15=1),"淘汰","通过"))</f>
        <v/>
      </c>
      <c r="AV15" s="10">
        <f>IF($A15="","",IF(OR(AA15=1,AR15=1,AND(AK15=1,AI15=1),AO15=1),"淘汰","通过"))</f>
        <v/>
      </c>
      <c r="AW15" s="24">
        <f>IF($A15="","",IF(AU15="淘汰","",ROUND(SUMPRODUCT(Z15:AT15,Z$2:AT$2)/5,1)))</f>
        <v/>
      </c>
      <c r="AX15" s="24">
        <f>IF($A15="","",IF(AV15="淘汰","",ROUND(SUMPRODUCT(Z15:AT15,Z$3:AT$3)/5,1)))</f>
        <v/>
      </c>
    </row>
    <row r="16">
      <c r="A16" s="22" t="inlineStr">
        <is>
          <t>OSK012</t>
        </is>
      </c>
      <c r="B16" s="20" t="inlineStr">
        <is>
          <t>大阪府大阪市住吉区長居東四丁目</t>
        </is>
      </c>
      <c r="C16" s="22" t="n">
        <v>34.612122</v>
      </c>
      <c r="D16" s="22" t="n">
        <v>135.516077</v>
      </c>
      <c r="E16" s="22" t="n">
        <v>8750</v>
      </c>
      <c r="F16" s="22" t="n">
        <v>129907</v>
      </c>
      <c r="G16" s="21" t="n">
        <v>0.6492</v>
      </c>
      <c r="H16" s="21" t="n">
        <v>0.4147</v>
      </c>
      <c r="I16" s="21" t="n">
        <v>0.6139</v>
      </c>
      <c r="J16" s="21" t="n">
        <v>0.603</v>
      </c>
      <c r="K16" s="21" t="n">
        <v>0.292</v>
      </c>
      <c r="L16" s="22" t="n">
        <v>3.88</v>
      </c>
      <c r="M16" s="22" t="n">
        <v>3</v>
      </c>
      <c r="N16" s="22" t="n">
        <v>10</v>
      </c>
      <c r="O16" s="22" t="n">
        <v>384</v>
      </c>
      <c r="P16" s="22" t="n">
        <v>0</v>
      </c>
      <c r="Q16" s="22" t="n">
        <v>0</v>
      </c>
      <c r="R16" s="22" t="n">
        <v>909</v>
      </c>
      <c r="S16" s="22" t="n">
        <v>892</v>
      </c>
      <c r="T16" s="22" t="n">
        <v>434</v>
      </c>
      <c r="U16" s="22" t="n">
        <v>1</v>
      </c>
      <c r="V16" s="22" t="n">
        <v>4</v>
      </c>
      <c r="W16" s="22" t="n">
        <v>13593</v>
      </c>
      <c r="X16" s="22" t="n">
        <v>4</v>
      </c>
      <c r="Y16" s="22" t="n">
        <v>5</v>
      </c>
      <c r="Z16" s="23">
        <f>IF(E16="","",IF('分位数阈值'!$D$2="","",IFS(E16&gt;='分位数阈值'!$D$2,5,E16&gt;='分位数阈值'!$E$2,4,E16&gt;='分位数阈值'!$F$2,3,E16&gt;='分位数阈值'!$G$2,2,TRUE,1)))</f>
        <v/>
      </c>
      <c r="AA16" s="23">
        <f>IF(F16="","",IF('分位数阈值'!$D$3="","",IFS(F16&gt;='分位数阈值'!$D$3,5,F16&gt;='分位数阈值'!$E$3,4,F16&gt;='分位数阈值'!$F$3,3,F16&gt;='分位数阈值'!$G$3,2,TRUE,1)))</f>
        <v/>
      </c>
      <c r="AB16" s="23">
        <f>IF(G16="","",IF('分位数阈值'!$D$4="","",IFS(G16&gt;='分位数阈值'!$D$4,5,G16&gt;='分位数阈值'!$E$4,4,G16&gt;='分位数阈值'!$F$4,3,G16&gt;='分位数阈值'!$G$4,2,TRUE,1)))</f>
        <v/>
      </c>
      <c r="AC16" s="23">
        <f>IF(H16="","",IF('分位数阈值'!$D$5="","",IFS(H16&gt;='分位数阈值'!$D$5,5,H16&gt;='分位数阈值'!$E$5,4,H16&gt;='分位数阈值'!$F$5,3,H16&gt;='分位数阈值'!$G$5,2,TRUE,1)))</f>
        <v/>
      </c>
      <c r="AD16" s="23">
        <f>IF(I16="","",IF('分位数阈值'!$D$6="","",IFS(I16&gt;='分位数阈值'!$D$6,5,I16&gt;='分位数阈值'!$E$6,4,I16&gt;='分位数阈值'!$F$6,3,I16&gt;='分位数阈值'!$G$6,2,TRUE,1)))</f>
        <v/>
      </c>
      <c r="AE16" s="23">
        <f>IF(J16="","",IF('分位数阈值'!$D$7="","",IFS(J16&gt;='分位数阈值'!$D$7,5,J16&gt;='分位数阈值'!$E$7,4,J16&gt;='分位数阈值'!$F$7,3,J16&gt;='分位数阈值'!$G$7,2,TRUE,1)))</f>
        <v/>
      </c>
      <c r="AF16" s="23">
        <f>IF(K16="","",IF('分位数阈值'!$D$8="","",IFS(K16&gt;='分位数阈值'!$D$8,5,K16&gt;='分位数阈值'!$E$8,4,K16&gt;='分位数阈值'!$F$8,3,K16&gt;='分位数阈值'!$G$8,2,TRUE,1)))</f>
        <v/>
      </c>
      <c r="AG16" s="23">
        <f>IF(L16="","",IF('分位数阈值'!$D$9="","",IFS(L16&gt;='分位数阈值'!$D$9,5,L16&gt;='分位数阈值'!$E$9,4,L16&gt;='分位数阈值'!$F$9,3,L16&gt;='分位数阈值'!$G$9,2,TRUE,1)))</f>
        <v/>
      </c>
      <c r="AH16" s="23">
        <f>IF(M16="","",IF('分位数阈值'!$D$10="","",IFS(M16&lt;='分位数阈值'!$G$10,5,M16&lt;='分位数阈值'!$F$10,4,M16&lt;='分位数阈值'!$E$10,3,M16&lt;='分位数阈值'!$D$10,2,TRUE,1)))</f>
        <v/>
      </c>
      <c r="AI16" s="23">
        <f>IF(N16="","",IF('分位数阈值'!$D$11="","",IFS(N16&lt;='分位数阈值'!$G$11,5,N16&lt;='分位数阈值'!$F$11,4,N16&lt;='分位数阈值'!$E$11,3,N16&lt;='分位数阈值'!$D$11,2,TRUE,1)))</f>
        <v/>
      </c>
      <c r="AJ16" s="23">
        <f>IF(P16="","",IF(P16=1,1,5))</f>
        <v/>
      </c>
      <c r="AK16" s="23">
        <f>IF(Q16="","",IF(Q16=1,1,5))</f>
        <v/>
      </c>
      <c r="AL16" s="23">
        <f>IF(O16="","",IF('分位数阈值'!$D$12="","",IFS(O16&gt;='分位数阈值'!$D$12,5,O16&gt;='分位数阈值'!$E$12,4,O16&gt;='分位数阈值'!$F$12,3,O16&gt;='分位数阈值'!$G$12,2,TRUE,1)))</f>
        <v/>
      </c>
      <c r="AM16" s="23">
        <f>IF(R16="","",IF('分位数阈值'!$D$13="","",IFS(R16&lt;='分位数阈值'!$G$13,5,R16&lt;='分位数阈值'!$F$13,4,R16&lt;='分位数阈值'!$E$13,3,R16&lt;='分位数阈值'!$D$13,2,TRUE,1)))</f>
        <v/>
      </c>
      <c r="AN16" s="23">
        <f>IF(S16="","",IF('分位数阈值'!$D$14="","",IFS(S16&lt;='分位数阈值'!$G$14,5,S16&lt;='分位数阈值'!$F$14,4,S16&lt;='分位数阈值'!$E$14,3,S16&lt;='分位数阈值'!$D$14,2,TRUE,1)))</f>
        <v/>
      </c>
      <c r="AO16" s="23">
        <f>IF(T16="","",IF('分位数阈值'!$D$15="","",IFS(T16&lt;='分位数阈值'!$G$15,5,T16&lt;='分位数阈值'!$F$15,4,T16&lt;='分位数阈值'!$E$15,3,T16&lt;='分位数阈值'!$D$15,2,TRUE,1)))</f>
        <v/>
      </c>
      <c r="AP16" s="23">
        <f>IF(U16="","",IF(U16=1,5,1))</f>
        <v/>
      </c>
      <c r="AQ16" s="23">
        <f>IF(V16="","",V16)</f>
        <v/>
      </c>
      <c r="AR16" s="23">
        <f>IF(W16="","",IF('分位数阈值'!$D$16="","",IFS(W16&lt;='分位数阈值'!$G$16,5,W16&lt;='分位数阈值'!$F$16,4,W16&lt;='分位数阈值'!$E$16,3,W16&lt;='分位数阈值'!$D$16,2,TRUE,1)))</f>
        <v/>
      </c>
      <c r="AS16" s="23">
        <f>IF(X16="","",X16)</f>
        <v/>
      </c>
      <c r="AT16" s="23">
        <f>IF(Y16="","",Y16)</f>
        <v/>
      </c>
      <c r="AU16" s="10">
        <f>IF($A16="","",IF(OR(Z16=1,AR16=1,AJ16=1),"淘汰","通过"))</f>
        <v/>
      </c>
      <c r="AV16" s="10">
        <f>IF($A16="","",IF(OR(AA16=1,AR16=1,AND(AK16=1,AI16=1),AO16=1),"淘汰","通过"))</f>
        <v/>
      </c>
      <c r="AW16" s="24">
        <f>IF($A16="","",IF(AU16="淘汰","",ROUND(SUMPRODUCT(Z16:AT16,Z$2:AT$2)/5,1)))</f>
        <v/>
      </c>
      <c r="AX16" s="24">
        <f>IF($A16="","",IF(AV16="淘汰","",ROUND(SUMPRODUCT(Z16:AT16,Z$3:AT$3)/5,1)))</f>
        <v/>
      </c>
    </row>
    <row r="17">
      <c r="A17" s="22" t="inlineStr">
        <is>
          <t>OSK013</t>
        </is>
      </c>
      <c r="B17" s="20" t="inlineStr">
        <is>
          <t>大阪府大阪市西成区天下茶屋二丁目</t>
        </is>
      </c>
      <c r="C17" s="22" t="n">
        <v>34.635823</v>
      </c>
      <c r="D17" s="22" t="n">
        <v>135.501981</v>
      </c>
      <c r="E17" s="22" t="n">
        <v>9749</v>
      </c>
      <c r="F17" s="22" t="n">
        <v>128726</v>
      </c>
      <c r="G17" s="21" t="n">
        <v>0.6126</v>
      </c>
      <c r="H17" s="21" t="n">
        <v>0.6331</v>
      </c>
      <c r="I17" s="21" t="n">
        <v>0.8651</v>
      </c>
      <c r="J17" s="21" t="n">
        <v>0.6928</v>
      </c>
      <c r="K17" s="21" t="n">
        <v>0.2134</v>
      </c>
      <c r="L17" s="22" t="n">
        <v>2.66</v>
      </c>
      <c r="M17" s="22" t="n">
        <v>3</v>
      </c>
      <c r="N17" s="22" t="n">
        <v>21</v>
      </c>
      <c r="O17" s="22" t="n">
        <v>399</v>
      </c>
      <c r="P17" s="22" t="n">
        <v>1</v>
      </c>
      <c r="Q17" s="22" t="n">
        <v>0</v>
      </c>
      <c r="R17" s="22" t="n">
        <v>288</v>
      </c>
      <c r="S17" s="22" t="n">
        <v>152</v>
      </c>
      <c r="T17" s="22" t="n">
        <v>288</v>
      </c>
      <c r="U17" s="22" t="n">
        <v>0</v>
      </c>
      <c r="V17" s="22" t="n">
        <v>3</v>
      </c>
      <c r="W17" s="22" t="n">
        <v>26377</v>
      </c>
      <c r="X17" s="22" t="n">
        <v>4</v>
      </c>
      <c r="Y17" s="22" t="n">
        <v>3</v>
      </c>
      <c r="Z17" s="23">
        <f>IF(E17="","",IF('分位数阈值'!$D$2="","",IFS(E17&gt;='分位数阈值'!$D$2,5,E17&gt;='分位数阈值'!$E$2,4,E17&gt;='分位数阈值'!$F$2,3,E17&gt;='分位数阈值'!$G$2,2,TRUE,1)))</f>
        <v/>
      </c>
      <c r="AA17" s="23">
        <f>IF(F17="","",IF('分位数阈值'!$D$3="","",IFS(F17&gt;='分位数阈值'!$D$3,5,F17&gt;='分位数阈值'!$E$3,4,F17&gt;='分位数阈值'!$F$3,3,F17&gt;='分位数阈值'!$G$3,2,TRUE,1)))</f>
        <v/>
      </c>
      <c r="AB17" s="23">
        <f>IF(G17="","",IF('分位数阈值'!$D$4="","",IFS(G17&gt;='分位数阈值'!$D$4,5,G17&gt;='分位数阈值'!$E$4,4,G17&gt;='分位数阈值'!$F$4,3,G17&gt;='分位数阈值'!$G$4,2,TRUE,1)))</f>
        <v/>
      </c>
      <c r="AC17" s="23">
        <f>IF(H17="","",IF('分位数阈值'!$D$5="","",IFS(H17&gt;='分位数阈值'!$D$5,5,H17&gt;='分位数阈值'!$E$5,4,H17&gt;='分位数阈值'!$F$5,3,H17&gt;='分位数阈值'!$G$5,2,TRUE,1)))</f>
        <v/>
      </c>
      <c r="AD17" s="23">
        <f>IF(I17="","",IF('分位数阈值'!$D$6="","",IFS(I17&gt;='分位数阈值'!$D$6,5,I17&gt;='分位数阈值'!$E$6,4,I17&gt;='分位数阈值'!$F$6,3,I17&gt;='分位数阈值'!$G$6,2,TRUE,1)))</f>
        <v/>
      </c>
      <c r="AE17" s="23">
        <f>IF(J17="","",IF('分位数阈值'!$D$7="","",IFS(J17&gt;='分位数阈值'!$D$7,5,J17&gt;='分位数阈值'!$E$7,4,J17&gt;='分位数阈值'!$F$7,3,J17&gt;='分位数阈值'!$G$7,2,TRUE,1)))</f>
        <v/>
      </c>
      <c r="AF17" s="23">
        <f>IF(K17="","",IF('分位数阈值'!$D$8="","",IFS(K17&gt;='分位数阈值'!$D$8,5,K17&gt;='分位数阈值'!$E$8,4,K17&gt;='分位数阈值'!$F$8,3,K17&gt;='分位数阈值'!$G$8,2,TRUE,1)))</f>
        <v/>
      </c>
      <c r="AG17" s="23">
        <f>IF(L17="","",IF('分位数阈值'!$D$9="","",IFS(L17&gt;='分位数阈值'!$D$9,5,L17&gt;='分位数阈值'!$E$9,4,L17&gt;='分位数阈值'!$F$9,3,L17&gt;='分位数阈值'!$G$9,2,TRUE,1)))</f>
        <v/>
      </c>
      <c r="AH17" s="23">
        <f>IF(M17="","",IF('分位数阈值'!$D$10="","",IFS(M17&lt;='分位数阈值'!$G$10,5,M17&lt;='分位数阈值'!$F$10,4,M17&lt;='分位数阈值'!$E$10,3,M17&lt;='分位数阈值'!$D$10,2,TRUE,1)))</f>
        <v/>
      </c>
      <c r="AI17" s="23">
        <f>IF(N17="","",IF('分位数阈值'!$D$11="","",IFS(N17&lt;='分位数阈值'!$G$11,5,N17&lt;='分位数阈值'!$F$11,4,N17&lt;='分位数阈值'!$E$11,3,N17&lt;='分位数阈值'!$D$11,2,TRUE,1)))</f>
        <v/>
      </c>
      <c r="AJ17" s="23">
        <f>IF(P17="","",IF(P17=1,1,5))</f>
        <v/>
      </c>
      <c r="AK17" s="23">
        <f>IF(Q17="","",IF(Q17=1,1,5))</f>
        <v/>
      </c>
      <c r="AL17" s="23">
        <f>IF(O17="","",IF('分位数阈值'!$D$12="","",IFS(O17&gt;='分位数阈值'!$D$12,5,O17&gt;='分位数阈值'!$E$12,4,O17&gt;='分位数阈值'!$F$12,3,O17&gt;='分位数阈值'!$G$12,2,TRUE,1)))</f>
        <v/>
      </c>
      <c r="AM17" s="23">
        <f>IF(R17="","",IF('分位数阈值'!$D$13="","",IFS(R17&lt;='分位数阈值'!$G$13,5,R17&lt;='分位数阈值'!$F$13,4,R17&lt;='分位数阈值'!$E$13,3,R17&lt;='分位数阈值'!$D$13,2,TRUE,1)))</f>
        <v/>
      </c>
      <c r="AN17" s="23">
        <f>IF(S17="","",IF('分位数阈值'!$D$14="","",IFS(S17&lt;='分位数阈值'!$G$14,5,S17&lt;='分位数阈值'!$F$14,4,S17&lt;='分位数阈值'!$E$14,3,S17&lt;='分位数阈值'!$D$14,2,TRUE,1)))</f>
        <v/>
      </c>
      <c r="AO17" s="23">
        <f>IF(T17="","",IF('分位数阈值'!$D$15="","",IFS(T17&lt;='分位数阈值'!$G$15,5,T17&lt;='分位数阈值'!$F$15,4,T17&lt;='分位数阈值'!$E$15,3,T17&lt;='分位数阈值'!$D$15,2,TRUE,1)))</f>
        <v/>
      </c>
      <c r="AP17" s="23">
        <f>IF(U17="","",IF(U17=1,5,1))</f>
        <v/>
      </c>
      <c r="AQ17" s="23">
        <f>IF(V17="","",V17)</f>
        <v/>
      </c>
      <c r="AR17" s="23">
        <f>IF(W17="","",IF('分位数阈值'!$D$16="","",IFS(W17&lt;='分位数阈值'!$G$16,5,W17&lt;='分位数阈值'!$F$16,4,W17&lt;='分位数阈值'!$E$16,3,W17&lt;='分位数阈值'!$D$16,2,TRUE,1)))</f>
        <v/>
      </c>
      <c r="AS17" s="23">
        <f>IF(X17="","",X17)</f>
        <v/>
      </c>
      <c r="AT17" s="23">
        <f>IF(Y17="","",Y17)</f>
        <v/>
      </c>
      <c r="AU17" s="10">
        <f>IF($A17="","",IF(OR(Z17=1,AR17=1,AJ17=1),"淘汰","通过"))</f>
        <v/>
      </c>
      <c r="AV17" s="10">
        <f>IF($A17="","",IF(OR(AA17=1,AR17=1,AND(AK17=1,AI17=1),AO17=1),"淘汰","通过"))</f>
        <v/>
      </c>
      <c r="AW17" s="24">
        <f>IF($A17="","",IF(AU17="淘汰","",ROUND(SUMPRODUCT(Z17:AT17,Z$2:AT$2)/5,1)))</f>
        <v/>
      </c>
      <c r="AX17" s="24">
        <f>IF($A17="","",IF(AV17="淘汰","",ROUND(SUMPRODUCT(Z17:AT17,Z$3:AT$3)/5,1)))</f>
        <v/>
      </c>
    </row>
    <row r="18">
      <c r="A18" s="22" t="inlineStr">
        <is>
          <t>OSK014</t>
        </is>
      </c>
      <c r="B18" s="20" t="inlineStr">
        <is>
          <t>大阪府大阪市鶴見区鶴見四丁目</t>
        </is>
      </c>
      <c r="C18" s="22" t="n">
        <v>34.714875</v>
      </c>
      <c r="D18" s="22" t="n">
        <v>135.574143</v>
      </c>
      <c r="E18" s="22" t="n">
        <v>11299</v>
      </c>
      <c r="F18" s="22" t="n">
        <v>124236</v>
      </c>
      <c r="G18" s="21" t="n">
        <v>0.5591</v>
      </c>
      <c r="H18" s="21" t="n">
        <v>0.5669</v>
      </c>
      <c r="I18" s="21" t="n">
        <v>0.7248</v>
      </c>
      <c r="J18" s="21" t="n">
        <v>0.5796</v>
      </c>
      <c r="K18" s="21" t="n">
        <v>0.1953</v>
      </c>
      <c r="L18" s="22" t="n">
        <v>2.33</v>
      </c>
      <c r="M18" s="22" t="n">
        <v>3</v>
      </c>
      <c r="N18" s="22" t="n">
        <v>14</v>
      </c>
      <c r="O18" s="22" t="n">
        <v>982</v>
      </c>
      <c r="P18" s="22" t="n">
        <v>0</v>
      </c>
      <c r="Q18" s="22" t="n">
        <v>1</v>
      </c>
      <c r="R18" s="22" t="n">
        <v>637</v>
      </c>
      <c r="S18" s="22" t="n">
        <v>317</v>
      </c>
      <c r="T18" s="22" t="n">
        <v>494</v>
      </c>
      <c r="U18" s="22" t="n">
        <v>0</v>
      </c>
      <c r="V18" s="22" t="n">
        <v>3</v>
      </c>
      <c r="W18" s="22" t="n">
        <v>17448</v>
      </c>
      <c r="X18" s="22" t="n">
        <v>3</v>
      </c>
      <c r="Y18" s="22" t="n">
        <v>5</v>
      </c>
      <c r="Z18" s="23">
        <f>IF(E18="","",IF('分位数阈值'!$D$2="","",IFS(E18&gt;='分位数阈值'!$D$2,5,E18&gt;='分位数阈值'!$E$2,4,E18&gt;='分位数阈值'!$F$2,3,E18&gt;='分位数阈值'!$G$2,2,TRUE,1)))</f>
        <v/>
      </c>
      <c r="AA18" s="23">
        <f>IF(F18="","",IF('分位数阈值'!$D$3="","",IFS(F18&gt;='分位数阈值'!$D$3,5,F18&gt;='分位数阈值'!$E$3,4,F18&gt;='分位数阈值'!$F$3,3,F18&gt;='分位数阈值'!$G$3,2,TRUE,1)))</f>
        <v/>
      </c>
      <c r="AB18" s="23">
        <f>IF(G18="","",IF('分位数阈值'!$D$4="","",IFS(G18&gt;='分位数阈值'!$D$4,5,G18&gt;='分位数阈值'!$E$4,4,G18&gt;='分位数阈值'!$F$4,3,G18&gt;='分位数阈值'!$G$4,2,TRUE,1)))</f>
        <v/>
      </c>
      <c r="AC18" s="23">
        <f>IF(H18="","",IF('分位数阈值'!$D$5="","",IFS(H18&gt;='分位数阈值'!$D$5,5,H18&gt;='分位数阈值'!$E$5,4,H18&gt;='分位数阈值'!$F$5,3,H18&gt;='分位数阈值'!$G$5,2,TRUE,1)))</f>
        <v/>
      </c>
      <c r="AD18" s="23">
        <f>IF(I18="","",IF('分位数阈值'!$D$6="","",IFS(I18&gt;='分位数阈值'!$D$6,5,I18&gt;='分位数阈值'!$E$6,4,I18&gt;='分位数阈值'!$F$6,3,I18&gt;='分位数阈值'!$G$6,2,TRUE,1)))</f>
        <v/>
      </c>
      <c r="AE18" s="23">
        <f>IF(J18="","",IF('分位数阈值'!$D$7="","",IFS(J18&gt;='分位数阈值'!$D$7,5,J18&gt;='分位数阈值'!$E$7,4,J18&gt;='分位数阈值'!$F$7,3,J18&gt;='分位数阈值'!$G$7,2,TRUE,1)))</f>
        <v/>
      </c>
      <c r="AF18" s="23">
        <f>IF(K18="","",IF('分位数阈值'!$D$8="","",IFS(K18&gt;='分位数阈值'!$D$8,5,K18&gt;='分位数阈值'!$E$8,4,K18&gt;='分位数阈值'!$F$8,3,K18&gt;='分位数阈值'!$G$8,2,TRUE,1)))</f>
        <v/>
      </c>
      <c r="AG18" s="23">
        <f>IF(L18="","",IF('分位数阈值'!$D$9="","",IFS(L18&gt;='分位数阈值'!$D$9,5,L18&gt;='分位数阈值'!$E$9,4,L18&gt;='分位数阈值'!$F$9,3,L18&gt;='分位数阈值'!$G$9,2,TRUE,1)))</f>
        <v/>
      </c>
      <c r="AH18" s="23">
        <f>IF(M18="","",IF('分位数阈值'!$D$10="","",IFS(M18&lt;='分位数阈值'!$G$10,5,M18&lt;='分位数阈值'!$F$10,4,M18&lt;='分位数阈值'!$E$10,3,M18&lt;='分位数阈值'!$D$10,2,TRUE,1)))</f>
        <v/>
      </c>
      <c r="AI18" s="23">
        <f>IF(N18="","",IF('分位数阈值'!$D$11="","",IFS(N18&lt;='分位数阈值'!$G$11,5,N18&lt;='分位数阈值'!$F$11,4,N18&lt;='分位数阈值'!$E$11,3,N18&lt;='分位数阈值'!$D$11,2,TRUE,1)))</f>
        <v/>
      </c>
      <c r="AJ18" s="23">
        <f>IF(P18="","",IF(P18=1,1,5))</f>
        <v/>
      </c>
      <c r="AK18" s="23">
        <f>IF(Q18="","",IF(Q18=1,1,5))</f>
        <v/>
      </c>
      <c r="AL18" s="23">
        <f>IF(O18="","",IF('分位数阈值'!$D$12="","",IFS(O18&gt;='分位数阈值'!$D$12,5,O18&gt;='分位数阈值'!$E$12,4,O18&gt;='分位数阈值'!$F$12,3,O18&gt;='分位数阈值'!$G$12,2,TRUE,1)))</f>
        <v/>
      </c>
      <c r="AM18" s="23">
        <f>IF(R18="","",IF('分位数阈值'!$D$13="","",IFS(R18&lt;='分位数阈值'!$G$13,5,R18&lt;='分位数阈值'!$F$13,4,R18&lt;='分位数阈值'!$E$13,3,R18&lt;='分位数阈值'!$D$13,2,TRUE,1)))</f>
        <v/>
      </c>
      <c r="AN18" s="23">
        <f>IF(S18="","",IF('分位数阈值'!$D$14="","",IFS(S18&lt;='分位数阈值'!$G$14,5,S18&lt;='分位数阈值'!$F$14,4,S18&lt;='分位数阈值'!$E$14,3,S18&lt;='分位数阈值'!$D$14,2,TRUE,1)))</f>
        <v/>
      </c>
      <c r="AO18" s="23">
        <f>IF(T18="","",IF('分位数阈值'!$D$15="","",IFS(T18&lt;='分位数阈值'!$G$15,5,T18&lt;='分位数阈值'!$F$15,4,T18&lt;='分位数阈值'!$E$15,3,T18&lt;='分位数阈值'!$D$15,2,TRUE,1)))</f>
        <v/>
      </c>
      <c r="AP18" s="23">
        <f>IF(U18="","",IF(U18=1,5,1))</f>
        <v/>
      </c>
      <c r="AQ18" s="23">
        <f>IF(V18="","",V18)</f>
        <v/>
      </c>
      <c r="AR18" s="23">
        <f>IF(W18="","",IF('分位数阈值'!$D$16="","",IFS(W18&lt;='分位数阈值'!$G$16,5,W18&lt;='分位数阈值'!$F$16,4,W18&lt;='分位数阈值'!$E$16,3,W18&lt;='分位数阈值'!$D$16,2,TRUE,1)))</f>
        <v/>
      </c>
      <c r="AS18" s="23">
        <f>IF(X18="","",X18)</f>
        <v/>
      </c>
      <c r="AT18" s="23">
        <f>IF(Y18="","",Y18)</f>
        <v/>
      </c>
      <c r="AU18" s="10">
        <f>IF($A18="","",IF(OR(Z18=1,AR18=1,AJ18=1),"淘汰","通过"))</f>
        <v/>
      </c>
      <c r="AV18" s="10">
        <f>IF($A18="","",IF(OR(AA18=1,AR18=1,AND(AK18=1,AI18=1),AO18=1),"淘汰","通过"))</f>
        <v/>
      </c>
      <c r="AW18" s="24">
        <f>IF($A18="","",IF(AU18="淘汰","",ROUND(SUMPRODUCT(Z18:AT18,Z$2:AT$2)/5,1)))</f>
        <v/>
      </c>
      <c r="AX18" s="24">
        <f>IF($A18="","",IF(AV18="淘汰","",ROUND(SUMPRODUCT(Z18:AT18,Z$3:AT$3)/5,1)))</f>
        <v/>
      </c>
    </row>
    <row r="19">
      <c r="A19" s="22" t="inlineStr">
        <is>
          <t>OSK015</t>
        </is>
      </c>
      <c r="B19" s="20" t="inlineStr">
        <is>
          <t>大阪府大阪市平野区喜連瓜破二丁目</t>
        </is>
      </c>
      <c r="C19" s="22" t="n">
        <v>34.610264</v>
      </c>
      <c r="D19" s="22" t="n">
        <v>135.555588</v>
      </c>
      <c r="E19" s="22" t="n">
        <v>10865</v>
      </c>
      <c r="F19" s="22" t="n">
        <v>122885</v>
      </c>
      <c r="G19" s="21" t="n">
        <v>0.455</v>
      </c>
      <c r="H19" s="21" t="n">
        <v>0.5473</v>
      </c>
      <c r="I19" s="21" t="n">
        <v>0.6497000000000001</v>
      </c>
      <c r="J19" s="21" t="n">
        <v>0.7362</v>
      </c>
      <c r="K19" s="21" t="n">
        <v>0.2763</v>
      </c>
      <c r="L19" s="22" t="n">
        <v>3.83</v>
      </c>
      <c r="M19" s="22" t="n">
        <v>2</v>
      </c>
      <c r="N19" s="22" t="n">
        <v>9</v>
      </c>
      <c r="O19" s="22" t="n">
        <v>919</v>
      </c>
      <c r="P19" s="22" t="n">
        <v>0</v>
      </c>
      <c r="Q19" s="22" t="n">
        <v>0</v>
      </c>
      <c r="R19" s="22" t="n">
        <v>1094</v>
      </c>
      <c r="S19" s="22" t="n">
        <v>395</v>
      </c>
      <c r="T19" s="22" t="n">
        <v>512</v>
      </c>
      <c r="U19" s="22" t="n">
        <v>1</v>
      </c>
      <c r="V19" s="22" t="n">
        <v>3</v>
      </c>
      <c r="W19" s="22" t="n">
        <v>19544</v>
      </c>
      <c r="X19" s="22" t="n">
        <v>3</v>
      </c>
      <c r="Y19" s="22" t="n">
        <v>4</v>
      </c>
      <c r="Z19" s="23">
        <f>IF(E19="","",IF('分位数阈值'!$D$2="","",IFS(E19&gt;='分位数阈值'!$D$2,5,E19&gt;='分位数阈值'!$E$2,4,E19&gt;='分位数阈值'!$F$2,3,E19&gt;='分位数阈值'!$G$2,2,TRUE,1)))</f>
        <v/>
      </c>
      <c r="AA19" s="23">
        <f>IF(F19="","",IF('分位数阈值'!$D$3="","",IFS(F19&gt;='分位数阈值'!$D$3,5,F19&gt;='分位数阈值'!$E$3,4,F19&gt;='分位数阈值'!$F$3,3,F19&gt;='分位数阈值'!$G$3,2,TRUE,1)))</f>
        <v/>
      </c>
      <c r="AB19" s="23">
        <f>IF(G19="","",IF('分位数阈值'!$D$4="","",IFS(G19&gt;='分位数阈值'!$D$4,5,G19&gt;='分位数阈值'!$E$4,4,G19&gt;='分位数阈值'!$F$4,3,G19&gt;='分位数阈值'!$G$4,2,TRUE,1)))</f>
        <v/>
      </c>
      <c r="AC19" s="23">
        <f>IF(H19="","",IF('分位数阈值'!$D$5="","",IFS(H19&gt;='分位数阈值'!$D$5,5,H19&gt;='分位数阈值'!$E$5,4,H19&gt;='分位数阈值'!$F$5,3,H19&gt;='分位数阈值'!$G$5,2,TRUE,1)))</f>
        <v/>
      </c>
      <c r="AD19" s="23">
        <f>IF(I19="","",IF('分位数阈值'!$D$6="","",IFS(I19&gt;='分位数阈值'!$D$6,5,I19&gt;='分位数阈值'!$E$6,4,I19&gt;='分位数阈值'!$F$6,3,I19&gt;='分位数阈值'!$G$6,2,TRUE,1)))</f>
        <v/>
      </c>
      <c r="AE19" s="23">
        <f>IF(J19="","",IF('分位数阈值'!$D$7="","",IFS(J19&gt;='分位数阈值'!$D$7,5,J19&gt;='分位数阈值'!$E$7,4,J19&gt;='分位数阈值'!$F$7,3,J19&gt;='分位数阈值'!$G$7,2,TRUE,1)))</f>
        <v/>
      </c>
      <c r="AF19" s="23">
        <f>IF(K19="","",IF('分位数阈值'!$D$8="","",IFS(K19&gt;='分位数阈值'!$D$8,5,K19&gt;='分位数阈值'!$E$8,4,K19&gt;='分位数阈值'!$F$8,3,K19&gt;='分位数阈值'!$G$8,2,TRUE,1)))</f>
        <v/>
      </c>
      <c r="AG19" s="23">
        <f>IF(L19="","",IF('分位数阈值'!$D$9="","",IFS(L19&gt;='分位数阈值'!$D$9,5,L19&gt;='分位数阈值'!$E$9,4,L19&gt;='分位数阈值'!$F$9,3,L19&gt;='分位数阈值'!$G$9,2,TRUE,1)))</f>
        <v/>
      </c>
      <c r="AH19" s="23">
        <f>IF(M19="","",IF('分位数阈值'!$D$10="","",IFS(M19&lt;='分位数阈值'!$G$10,5,M19&lt;='分位数阈值'!$F$10,4,M19&lt;='分位数阈值'!$E$10,3,M19&lt;='分位数阈值'!$D$10,2,TRUE,1)))</f>
        <v/>
      </c>
      <c r="AI19" s="23">
        <f>IF(N19="","",IF('分位数阈值'!$D$11="","",IFS(N19&lt;='分位数阈值'!$G$11,5,N19&lt;='分位数阈值'!$F$11,4,N19&lt;='分位数阈值'!$E$11,3,N19&lt;='分位数阈值'!$D$11,2,TRUE,1)))</f>
        <v/>
      </c>
      <c r="AJ19" s="23">
        <f>IF(P19="","",IF(P19=1,1,5))</f>
        <v/>
      </c>
      <c r="AK19" s="23">
        <f>IF(Q19="","",IF(Q19=1,1,5))</f>
        <v/>
      </c>
      <c r="AL19" s="23">
        <f>IF(O19="","",IF('分位数阈值'!$D$12="","",IFS(O19&gt;='分位数阈值'!$D$12,5,O19&gt;='分位数阈值'!$E$12,4,O19&gt;='分位数阈值'!$F$12,3,O19&gt;='分位数阈值'!$G$12,2,TRUE,1)))</f>
        <v/>
      </c>
      <c r="AM19" s="23">
        <f>IF(R19="","",IF('分位数阈值'!$D$13="","",IFS(R19&lt;='分位数阈值'!$G$13,5,R19&lt;='分位数阈值'!$F$13,4,R19&lt;='分位数阈值'!$E$13,3,R19&lt;='分位数阈值'!$D$13,2,TRUE,1)))</f>
        <v/>
      </c>
      <c r="AN19" s="23">
        <f>IF(S19="","",IF('分位数阈值'!$D$14="","",IFS(S19&lt;='分位数阈值'!$G$14,5,S19&lt;='分位数阈值'!$F$14,4,S19&lt;='分位数阈值'!$E$14,3,S19&lt;='分位数阈值'!$D$14,2,TRUE,1)))</f>
        <v/>
      </c>
      <c r="AO19" s="23">
        <f>IF(T19="","",IF('分位数阈值'!$D$15="","",IFS(T19&lt;='分位数阈值'!$G$15,5,T19&lt;='分位数阈值'!$F$15,4,T19&lt;='分位数阈值'!$E$15,3,T19&lt;='分位数阈值'!$D$15,2,TRUE,1)))</f>
        <v/>
      </c>
      <c r="AP19" s="23">
        <f>IF(U19="","",IF(U19=1,5,1))</f>
        <v/>
      </c>
      <c r="AQ19" s="23">
        <f>IF(V19="","",V19)</f>
        <v/>
      </c>
      <c r="AR19" s="23">
        <f>IF(W19="","",IF('分位数阈值'!$D$16="","",IFS(W19&lt;='分位数阈值'!$G$16,5,W19&lt;='分位数阈值'!$F$16,4,W19&lt;='分位数阈值'!$E$16,3,W19&lt;='分位数阈值'!$D$16,2,TRUE,1)))</f>
        <v/>
      </c>
      <c r="AS19" s="23">
        <f>IF(X19="","",X19)</f>
        <v/>
      </c>
      <c r="AT19" s="23">
        <f>IF(Y19="","",Y19)</f>
        <v/>
      </c>
      <c r="AU19" s="10">
        <f>IF($A19="","",IF(OR(Z19=1,AR19=1,AJ19=1),"淘汰","通过"))</f>
        <v/>
      </c>
      <c r="AV19" s="10">
        <f>IF($A19="","",IF(OR(AA19=1,AR19=1,AND(AK19=1,AI19=1),AO19=1),"淘汰","通过"))</f>
        <v/>
      </c>
      <c r="AW19" s="24">
        <f>IF($A19="","",IF(AU19="淘汰","",ROUND(SUMPRODUCT(Z19:AT19,Z$2:AT$2)/5,1)))</f>
        <v/>
      </c>
      <c r="AX19" s="24">
        <f>IF($A19="","",IF(AV19="淘汰","",ROUND(SUMPRODUCT(Z19:AT19,Z$3:AT$3)/5,1)))</f>
        <v/>
      </c>
    </row>
    <row r="20">
      <c r="A20" s="22" t="inlineStr">
        <is>
          <t>OSK016</t>
        </is>
      </c>
      <c r="B20" s="20" t="inlineStr">
        <is>
          <t>大阪府大阪市淀川区十三本町一丁目</t>
        </is>
      </c>
      <c r="C20" s="22" t="n">
        <v>34.720411</v>
      </c>
      <c r="D20" s="22" t="n">
        <v>135.482501</v>
      </c>
      <c r="E20" s="22" t="n">
        <v>15050</v>
      </c>
      <c r="F20" s="22" t="n">
        <v>157682</v>
      </c>
      <c r="G20" s="21" t="n">
        <v>0.6142</v>
      </c>
      <c r="H20" s="21" t="n">
        <v>0.6411</v>
      </c>
      <c r="I20" s="21" t="n">
        <v>0.7919</v>
      </c>
      <c r="J20" s="21" t="n">
        <v>0.856</v>
      </c>
      <c r="K20" s="21" t="n">
        <v>0.2036</v>
      </c>
      <c r="L20" s="22" t="n">
        <v>4.35</v>
      </c>
      <c r="M20" s="22" t="n">
        <v>1</v>
      </c>
      <c r="N20" s="22" t="n">
        <v>22</v>
      </c>
      <c r="O20" s="22" t="n">
        <v>179</v>
      </c>
      <c r="P20" s="22" t="n">
        <v>0</v>
      </c>
      <c r="Q20" s="22" t="n">
        <v>1</v>
      </c>
      <c r="R20" s="22" t="n">
        <v>204</v>
      </c>
      <c r="S20" s="22" t="n">
        <v>346</v>
      </c>
      <c r="T20" s="22" t="n">
        <v>277</v>
      </c>
      <c r="U20" s="22" t="n">
        <v>1</v>
      </c>
      <c r="V20" s="22" t="n">
        <v>4</v>
      </c>
      <c r="W20" s="22" t="n">
        <v>23160</v>
      </c>
      <c r="X20" s="22" t="n">
        <v>3</v>
      </c>
      <c r="Y20" s="22" t="n">
        <v>4</v>
      </c>
      <c r="Z20" s="23">
        <f>IF(E20="","",IF('分位数阈值'!$D$2="","",IFS(E20&gt;='分位数阈值'!$D$2,5,E20&gt;='分位数阈值'!$E$2,4,E20&gt;='分位数阈值'!$F$2,3,E20&gt;='分位数阈值'!$G$2,2,TRUE,1)))</f>
        <v/>
      </c>
      <c r="AA20" s="23">
        <f>IF(F20="","",IF('分位数阈值'!$D$3="","",IFS(F20&gt;='分位数阈值'!$D$3,5,F20&gt;='分位数阈值'!$E$3,4,F20&gt;='分位数阈值'!$F$3,3,F20&gt;='分位数阈值'!$G$3,2,TRUE,1)))</f>
        <v/>
      </c>
      <c r="AB20" s="23">
        <f>IF(G20="","",IF('分位数阈值'!$D$4="","",IFS(G20&gt;='分位数阈值'!$D$4,5,G20&gt;='分位数阈值'!$E$4,4,G20&gt;='分位数阈值'!$F$4,3,G20&gt;='分位数阈值'!$G$4,2,TRUE,1)))</f>
        <v/>
      </c>
      <c r="AC20" s="23">
        <f>IF(H20="","",IF('分位数阈值'!$D$5="","",IFS(H20&gt;='分位数阈值'!$D$5,5,H20&gt;='分位数阈值'!$E$5,4,H20&gt;='分位数阈值'!$F$5,3,H20&gt;='分位数阈值'!$G$5,2,TRUE,1)))</f>
        <v/>
      </c>
      <c r="AD20" s="23">
        <f>IF(I20="","",IF('分位数阈值'!$D$6="","",IFS(I20&gt;='分位数阈值'!$D$6,5,I20&gt;='分位数阈值'!$E$6,4,I20&gt;='分位数阈值'!$F$6,3,I20&gt;='分位数阈值'!$G$6,2,TRUE,1)))</f>
        <v/>
      </c>
      <c r="AE20" s="23">
        <f>IF(J20="","",IF('分位数阈值'!$D$7="","",IFS(J20&gt;='分位数阈值'!$D$7,5,J20&gt;='分位数阈值'!$E$7,4,J20&gt;='分位数阈值'!$F$7,3,J20&gt;='分位数阈值'!$G$7,2,TRUE,1)))</f>
        <v/>
      </c>
      <c r="AF20" s="23">
        <f>IF(K20="","",IF('分位数阈值'!$D$8="","",IFS(K20&gt;='分位数阈值'!$D$8,5,K20&gt;='分位数阈值'!$E$8,4,K20&gt;='分位数阈值'!$F$8,3,K20&gt;='分位数阈值'!$G$8,2,TRUE,1)))</f>
        <v/>
      </c>
      <c r="AG20" s="23">
        <f>IF(L20="","",IF('分位数阈值'!$D$9="","",IFS(L20&gt;='分位数阈值'!$D$9,5,L20&gt;='分位数阈值'!$E$9,4,L20&gt;='分位数阈值'!$F$9,3,L20&gt;='分位数阈值'!$G$9,2,TRUE,1)))</f>
        <v/>
      </c>
      <c r="AH20" s="23">
        <f>IF(M20="","",IF('分位数阈值'!$D$10="","",IFS(M20&lt;='分位数阈值'!$G$10,5,M20&lt;='分位数阈值'!$F$10,4,M20&lt;='分位数阈值'!$E$10,3,M20&lt;='分位数阈值'!$D$10,2,TRUE,1)))</f>
        <v/>
      </c>
      <c r="AI20" s="23">
        <f>IF(N20="","",IF('分位数阈值'!$D$11="","",IFS(N20&lt;='分位数阈值'!$G$11,5,N20&lt;='分位数阈值'!$F$11,4,N20&lt;='分位数阈值'!$E$11,3,N20&lt;='分位数阈值'!$D$11,2,TRUE,1)))</f>
        <v/>
      </c>
      <c r="AJ20" s="23">
        <f>IF(P20="","",IF(P20=1,1,5))</f>
        <v/>
      </c>
      <c r="AK20" s="23">
        <f>IF(Q20="","",IF(Q20=1,1,5))</f>
        <v/>
      </c>
      <c r="AL20" s="23">
        <f>IF(O20="","",IF('分位数阈值'!$D$12="","",IFS(O20&gt;='分位数阈值'!$D$12,5,O20&gt;='分位数阈值'!$E$12,4,O20&gt;='分位数阈值'!$F$12,3,O20&gt;='分位数阈值'!$G$12,2,TRUE,1)))</f>
        <v/>
      </c>
      <c r="AM20" s="23">
        <f>IF(R20="","",IF('分位数阈值'!$D$13="","",IFS(R20&lt;='分位数阈值'!$G$13,5,R20&lt;='分位数阈值'!$F$13,4,R20&lt;='分位数阈值'!$E$13,3,R20&lt;='分位数阈值'!$D$13,2,TRUE,1)))</f>
        <v/>
      </c>
      <c r="AN20" s="23">
        <f>IF(S20="","",IF('分位数阈值'!$D$14="","",IFS(S20&lt;='分位数阈值'!$G$14,5,S20&lt;='分位数阈值'!$F$14,4,S20&lt;='分位数阈值'!$E$14,3,S20&lt;='分位数阈值'!$D$14,2,TRUE,1)))</f>
        <v/>
      </c>
      <c r="AO20" s="23">
        <f>IF(T20="","",IF('分位数阈值'!$D$15="","",IFS(T20&lt;='分位数阈值'!$G$15,5,T20&lt;='分位数阈值'!$F$15,4,T20&lt;='分位数阈值'!$E$15,3,T20&lt;='分位数阈值'!$D$15,2,TRUE,1)))</f>
        <v/>
      </c>
      <c r="AP20" s="23">
        <f>IF(U20="","",IF(U20=1,5,1))</f>
        <v/>
      </c>
      <c r="AQ20" s="23">
        <f>IF(V20="","",V20)</f>
        <v/>
      </c>
      <c r="AR20" s="23">
        <f>IF(W20="","",IF('分位数阈值'!$D$16="","",IFS(W20&lt;='分位数阈值'!$G$16,5,W20&lt;='分位数阈值'!$F$16,4,W20&lt;='分位数阈值'!$E$16,3,W20&lt;='分位数阈值'!$D$16,2,TRUE,1)))</f>
        <v/>
      </c>
      <c r="AS20" s="23">
        <f>IF(X20="","",X20)</f>
        <v/>
      </c>
      <c r="AT20" s="23">
        <f>IF(Y20="","",Y20)</f>
        <v/>
      </c>
      <c r="AU20" s="10">
        <f>IF($A20="","",IF(OR(Z20=1,AR20=1,AJ20=1),"淘汰","通过"))</f>
        <v/>
      </c>
      <c r="AV20" s="10">
        <f>IF($A20="","",IF(OR(AA20=1,AR20=1,AND(AK20=1,AI20=1),AO20=1),"淘汰","通过"))</f>
        <v/>
      </c>
      <c r="AW20" s="24">
        <f>IF($A20="","",IF(AU20="淘汰","",ROUND(SUMPRODUCT(Z20:AT20,Z$2:AT$2)/5,1)))</f>
        <v/>
      </c>
      <c r="AX20" s="24">
        <f>IF($A20="","",IF(AV20="淘汰","",ROUND(SUMPRODUCT(Z20:AT20,Z$3:AT$3)/5,1)))</f>
        <v/>
      </c>
    </row>
    <row r="21" ht="15.75" customHeight="1" s="25">
      <c r="A21" s="22" t="inlineStr">
        <is>
          <t>OSK017</t>
        </is>
      </c>
      <c r="B21" s="20" t="inlineStr">
        <is>
          <t>大阪府大阪市東淀川区淡路四丁目</t>
        </is>
      </c>
      <c r="C21" s="22" t="n">
        <v>34.749426</v>
      </c>
      <c r="D21" s="22" t="n">
        <v>135.511967</v>
      </c>
      <c r="E21" s="22" t="n">
        <v>6010</v>
      </c>
      <c r="F21" s="22" t="n">
        <v>125535</v>
      </c>
      <c r="G21" s="21" t="n">
        <v>0.5577</v>
      </c>
      <c r="H21" s="21" t="n">
        <v>0.5439000000000001</v>
      </c>
      <c r="I21" s="21" t="n">
        <v>0.7726</v>
      </c>
      <c r="J21" s="21" t="n">
        <v>0.6841</v>
      </c>
      <c r="K21" s="21" t="n">
        <v>0.2237</v>
      </c>
      <c r="L21" s="22" t="n">
        <v>1.69</v>
      </c>
      <c r="M21" s="22" t="n">
        <v>2</v>
      </c>
      <c r="N21" s="22" t="n">
        <v>9</v>
      </c>
      <c r="O21" s="22" t="n">
        <v>517</v>
      </c>
      <c r="P21" s="22" t="n">
        <v>0</v>
      </c>
      <c r="Q21" s="22" t="n">
        <v>0</v>
      </c>
      <c r="R21" s="22" t="n">
        <v>675</v>
      </c>
      <c r="S21" s="22" t="n">
        <v>451</v>
      </c>
      <c r="T21" s="22" t="n">
        <v>316</v>
      </c>
      <c r="U21" s="22" t="n">
        <v>1</v>
      </c>
      <c r="V21" s="22" t="n">
        <v>3</v>
      </c>
      <c r="W21" s="22" t="n">
        <v>11527</v>
      </c>
      <c r="X21" s="22" t="n">
        <v>4</v>
      </c>
      <c r="Y21" s="22" t="n">
        <v>5</v>
      </c>
      <c r="Z21" s="23">
        <f>IF(E21="","",IF('分位数阈值'!$D$2="","",IFS(E21&gt;='分位数阈值'!$D$2,5,E21&gt;='分位数阈值'!$E$2,4,E21&gt;='分位数阈值'!$F$2,3,E21&gt;='分位数阈值'!$G$2,2,TRUE,1)))</f>
        <v/>
      </c>
      <c r="AA21" s="23">
        <f>IF(F21="","",IF('分位数阈值'!$D$3="","",IFS(F21&gt;='分位数阈值'!$D$3,5,F21&gt;='分位数阈值'!$E$3,4,F21&gt;='分位数阈值'!$F$3,3,F21&gt;='分位数阈值'!$G$3,2,TRUE,1)))</f>
        <v/>
      </c>
      <c r="AB21" s="23">
        <f>IF(G21="","",IF('分位数阈值'!$D$4="","",IFS(G21&gt;='分位数阈值'!$D$4,5,G21&gt;='分位数阈值'!$E$4,4,G21&gt;='分位数阈值'!$F$4,3,G21&gt;='分位数阈值'!$G$4,2,TRUE,1)))</f>
        <v/>
      </c>
      <c r="AC21" s="23">
        <f>IF(H21="","",IF('分位数阈值'!$D$5="","",IFS(H21&gt;='分位数阈值'!$D$5,5,H21&gt;='分位数阈值'!$E$5,4,H21&gt;='分位数阈值'!$F$5,3,H21&gt;='分位数阈值'!$G$5,2,TRUE,1)))</f>
        <v/>
      </c>
      <c r="AD21" s="23">
        <f>IF(I21="","",IF('分位数阈值'!$D$6="","",IFS(I21&gt;='分位数阈值'!$D$6,5,I21&gt;='分位数阈值'!$E$6,4,I21&gt;='分位数阈值'!$F$6,3,I21&gt;='分位数阈值'!$G$6,2,TRUE,1)))</f>
        <v/>
      </c>
      <c r="AE21" s="23">
        <f>IF(J21="","",IF('分位数阈值'!$D$7="","",IFS(J21&gt;='分位数阈值'!$D$7,5,J21&gt;='分位数阈值'!$E$7,4,J21&gt;='分位数阈值'!$F$7,3,J21&gt;='分位数阈值'!$G$7,2,TRUE,1)))</f>
        <v/>
      </c>
      <c r="AF21" s="23">
        <f>IF(K21="","",IF('分位数阈值'!$D$8="","",IFS(K21&gt;='分位数阈值'!$D$8,5,K21&gt;='分位数阈值'!$E$8,4,K21&gt;='分位数阈值'!$F$8,3,K21&gt;='分位数阈值'!$G$8,2,TRUE,1)))</f>
        <v/>
      </c>
      <c r="AG21" s="23">
        <f>IF(L21="","",IF('分位数阈值'!$D$9="","",IFS(L21&gt;='分位数阈值'!$D$9,5,L21&gt;='分位数阈值'!$E$9,4,L21&gt;='分位数阈值'!$F$9,3,L21&gt;='分位数阈值'!$G$9,2,TRUE,1)))</f>
        <v/>
      </c>
      <c r="AH21" s="23">
        <f>IF(M21="","",IF('分位数阈值'!$D$10="","",IFS(M21&lt;='分位数阈值'!$G$10,5,M21&lt;='分位数阈值'!$F$10,4,M21&lt;='分位数阈值'!$E$10,3,M21&lt;='分位数阈值'!$D$10,2,TRUE,1)))</f>
        <v/>
      </c>
      <c r="AI21" s="23">
        <f>IF(N21="","",IF('分位数阈值'!$D$11="","",IFS(N21&lt;='分位数阈值'!$G$11,5,N21&lt;='分位数阈值'!$F$11,4,N21&lt;='分位数阈值'!$E$11,3,N21&lt;='分位数阈值'!$D$11,2,TRUE,1)))</f>
        <v/>
      </c>
      <c r="AJ21" s="23">
        <f>IF(P21="","",IF(P21=1,1,5))</f>
        <v/>
      </c>
      <c r="AK21" s="23">
        <f>IF(Q21="","",IF(Q21=1,1,5))</f>
        <v/>
      </c>
      <c r="AL21" s="23">
        <f>IF(O21="","",IF('分位数阈值'!$D$12="","",IFS(O21&gt;='分位数阈值'!$D$12,5,O21&gt;='分位数阈值'!$E$12,4,O21&gt;='分位数阈值'!$F$12,3,O21&gt;='分位数阈值'!$G$12,2,TRUE,1)))</f>
        <v/>
      </c>
      <c r="AM21" s="23">
        <f>IF(R21="","",IF('分位数阈值'!$D$13="","",IFS(R21&lt;='分位数阈值'!$G$13,5,R21&lt;='分位数阈值'!$F$13,4,R21&lt;='分位数阈值'!$E$13,3,R21&lt;='分位数阈值'!$D$13,2,TRUE,1)))</f>
        <v/>
      </c>
      <c r="AN21" s="23">
        <f>IF(S21="","",IF('分位数阈值'!$D$14="","",IFS(S21&lt;='分位数阈值'!$G$14,5,S21&lt;='分位数阈值'!$F$14,4,S21&lt;='分位数阈值'!$E$14,3,S21&lt;='分位数阈值'!$D$14,2,TRUE,1)))</f>
        <v/>
      </c>
      <c r="AO21" s="23">
        <f>IF(T21="","",IF('分位数阈值'!$D$15="","",IFS(T21&lt;='分位数阈值'!$G$15,5,T21&lt;='分位数阈值'!$F$15,4,T21&lt;='分位数阈值'!$E$15,3,T21&lt;='分位数阈值'!$D$15,2,TRUE,1)))</f>
        <v/>
      </c>
      <c r="AP21" s="23">
        <f>IF(U21="","",IF(U21=1,5,1))</f>
        <v/>
      </c>
      <c r="AQ21" s="23">
        <f>IF(V21="","",V21)</f>
        <v/>
      </c>
      <c r="AR21" s="23">
        <f>IF(W21="","",IF('分位数阈值'!$D$16="","",IFS(W21&lt;='分位数阈值'!$G$16,5,W21&lt;='分位数阈值'!$F$16,4,W21&lt;='分位数阈值'!$E$16,3,W21&lt;='分位数阈值'!$D$16,2,TRUE,1)))</f>
        <v/>
      </c>
      <c r="AS21" s="23">
        <f>IF(X21="","",X21)</f>
        <v/>
      </c>
      <c r="AT21" s="23">
        <f>IF(Y21="","",Y21)</f>
        <v/>
      </c>
      <c r="AU21" s="10">
        <f>IF($A21="","",IF(OR(Z21=1,AR21=1,AJ21=1),"淘汰","通过"))</f>
        <v/>
      </c>
      <c r="AV21" s="10">
        <f>IF($A21="","",IF(OR(AA21=1,AR21=1,AND(AK21=1,AI21=1),AO21=1),"淘汰","通过"))</f>
        <v/>
      </c>
      <c r="AW21" s="24">
        <f>IF($A21="","",IF(AU21="淘汰","",ROUND(SUMPRODUCT(Z21:AT21,Z$2:AT$2)/5,1)))</f>
        <v/>
      </c>
      <c r="AX21" s="24">
        <f>IF($A21="","",IF(AV21="淘汰","",ROUND(SUMPRODUCT(Z21:AT21,Z$3:AT$3)/5,1)))</f>
        <v/>
      </c>
    </row>
    <row r="22" ht="15.75" customHeight="1" s="25">
      <c r="A22" s="22" t="inlineStr">
        <is>
          <t>OSK018</t>
        </is>
      </c>
      <c r="B22" s="20" t="inlineStr">
        <is>
          <t>大阪府大阪市此花区西九条三丁目</t>
        </is>
      </c>
      <c r="C22" s="22" t="n">
        <v>34.682415</v>
      </c>
      <c r="D22" s="22" t="n">
        <v>135.462339</v>
      </c>
      <c r="E22" s="22" t="n">
        <v>13309</v>
      </c>
      <c r="F22" s="22" t="n">
        <v>111066</v>
      </c>
      <c r="G22" s="21" t="n">
        <v>0.676</v>
      </c>
      <c r="H22" s="21" t="n">
        <v>0.5001</v>
      </c>
      <c r="I22" s="21" t="n">
        <v>0.766</v>
      </c>
      <c r="J22" s="21" t="n">
        <v>0.7403</v>
      </c>
      <c r="K22" s="21" t="n">
        <v>0.208</v>
      </c>
      <c r="L22" s="22" t="n">
        <v>3.64</v>
      </c>
      <c r="M22" s="22" t="n">
        <v>3</v>
      </c>
      <c r="N22" s="22" t="n">
        <v>15</v>
      </c>
      <c r="O22" s="22" t="n">
        <v>191</v>
      </c>
      <c r="P22" s="22" t="n">
        <v>0</v>
      </c>
      <c r="Q22" s="22" t="n">
        <v>0</v>
      </c>
      <c r="R22" s="22" t="n">
        <v>548</v>
      </c>
      <c r="S22" s="22" t="n">
        <v>226</v>
      </c>
      <c r="T22" s="22" t="n">
        <v>103</v>
      </c>
      <c r="U22" s="22" t="n">
        <v>0</v>
      </c>
      <c r="V22" s="22" t="n">
        <v>4</v>
      </c>
      <c r="W22" s="22" t="n">
        <v>20693</v>
      </c>
      <c r="X22" s="22" t="n">
        <v>5</v>
      </c>
      <c r="Y22" s="22" t="n">
        <v>4</v>
      </c>
      <c r="Z22" s="23">
        <f>IF(E22="","",IF('分位数阈值'!$D$2="","",IFS(E22&gt;='分位数阈值'!$D$2,5,E22&gt;='分位数阈值'!$E$2,4,E22&gt;='分位数阈值'!$F$2,3,E22&gt;='分位数阈值'!$G$2,2,TRUE,1)))</f>
        <v/>
      </c>
      <c r="AA22" s="23">
        <f>IF(F22="","",IF('分位数阈值'!$D$3="","",IFS(F22&gt;='分位数阈值'!$D$3,5,F22&gt;='分位数阈值'!$E$3,4,F22&gt;='分位数阈值'!$F$3,3,F22&gt;='分位数阈值'!$G$3,2,TRUE,1)))</f>
        <v/>
      </c>
      <c r="AB22" s="23">
        <f>IF(G22="","",IF('分位数阈值'!$D$4="","",IFS(G22&gt;='分位数阈值'!$D$4,5,G22&gt;='分位数阈值'!$E$4,4,G22&gt;='分位数阈值'!$F$4,3,G22&gt;='分位数阈值'!$G$4,2,TRUE,1)))</f>
        <v/>
      </c>
      <c r="AC22" s="23">
        <f>IF(H22="","",IF('分位数阈值'!$D$5="","",IFS(H22&gt;='分位数阈值'!$D$5,5,H22&gt;='分位数阈值'!$E$5,4,H22&gt;='分位数阈值'!$F$5,3,H22&gt;='分位数阈值'!$G$5,2,TRUE,1)))</f>
        <v/>
      </c>
      <c r="AD22" s="23">
        <f>IF(I22="","",IF('分位数阈值'!$D$6="","",IFS(I22&gt;='分位数阈值'!$D$6,5,I22&gt;='分位数阈值'!$E$6,4,I22&gt;='分位数阈值'!$F$6,3,I22&gt;='分位数阈值'!$G$6,2,TRUE,1)))</f>
        <v/>
      </c>
      <c r="AE22" s="23">
        <f>IF(J22="","",IF('分位数阈值'!$D$7="","",IFS(J22&gt;='分位数阈值'!$D$7,5,J22&gt;='分位数阈值'!$E$7,4,J22&gt;='分位数阈值'!$F$7,3,J22&gt;='分位数阈值'!$G$7,2,TRUE,1)))</f>
        <v/>
      </c>
      <c r="AF22" s="23">
        <f>IF(K22="","",IF('分位数阈值'!$D$8="","",IFS(K22&gt;='分位数阈值'!$D$8,5,K22&gt;='分位数阈值'!$E$8,4,K22&gt;='分位数阈值'!$F$8,3,K22&gt;='分位数阈值'!$G$8,2,TRUE,1)))</f>
        <v/>
      </c>
      <c r="AG22" s="23">
        <f>IF(L22="","",IF('分位数阈值'!$D$9="","",IFS(L22&gt;='分位数阈值'!$D$9,5,L22&gt;='分位数阈值'!$E$9,4,L22&gt;='分位数阈值'!$F$9,3,L22&gt;='分位数阈值'!$G$9,2,TRUE,1)))</f>
        <v/>
      </c>
      <c r="AH22" s="23">
        <f>IF(M22="","",IF('分位数阈值'!$D$10="","",IFS(M22&lt;='分位数阈值'!$G$10,5,M22&lt;='分位数阈值'!$F$10,4,M22&lt;='分位数阈值'!$E$10,3,M22&lt;='分位数阈值'!$D$10,2,TRUE,1)))</f>
        <v/>
      </c>
      <c r="AI22" s="23">
        <f>IF(N22="","",IF('分位数阈值'!$D$11="","",IFS(N22&lt;='分位数阈值'!$G$11,5,N22&lt;='分位数阈值'!$F$11,4,N22&lt;='分位数阈值'!$E$11,3,N22&lt;='分位数阈值'!$D$11,2,TRUE,1)))</f>
        <v/>
      </c>
      <c r="AJ22" s="23">
        <f>IF(P22="","",IF(P22=1,1,5))</f>
        <v/>
      </c>
      <c r="AK22" s="23">
        <f>IF(Q22="","",IF(Q22=1,1,5))</f>
        <v/>
      </c>
      <c r="AL22" s="23">
        <f>IF(O22="","",IF('分位数阈值'!$D$12="","",IFS(O22&gt;='分位数阈值'!$D$12,5,O22&gt;='分位数阈值'!$E$12,4,O22&gt;='分位数阈值'!$F$12,3,O22&gt;='分位数阈值'!$G$12,2,TRUE,1)))</f>
        <v/>
      </c>
      <c r="AM22" s="23">
        <f>IF(R22="","",IF('分位数阈值'!$D$13="","",IFS(R22&lt;='分位数阈值'!$G$13,5,R22&lt;='分位数阈值'!$F$13,4,R22&lt;='分位数阈值'!$E$13,3,R22&lt;='分位数阈值'!$D$13,2,TRUE,1)))</f>
        <v/>
      </c>
      <c r="AN22" s="23">
        <f>IF(S22="","",IF('分位数阈值'!$D$14="","",IFS(S22&lt;='分位数阈值'!$G$14,5,S22&lt;='分位数阈值'!$F$14,4,S22&lt;='分位数阈值'!$E$14,3,S22&lt;='分位数阈值'!$D$14,2,TRUE,1)))</f>
        <v/>
      </c>
      <c r="AO22" s="23">
        <f>IF(T22="","",IF('分位数阈值'!$D$15="","",IFS(T22&lt;='分位数阈值'!$G$15,5,T22&lt;='分位数阈值'!$F$15,4,T22&lt;='分位数阈值'!$E$15,3,T22&lt;='分位数阈值'!$D$15,2,TRUE,1)))</f>
        <v/>
      </c>
      <c r="AP22" s="23">
        <f>IF(U22="","",IF(U22=1,5,1))</f>
        <v/>
      </c>
      <c r="AQ22" s="23">
        <f>IF(V22="","",V22)</f>
        <v/>
      </c>
      <c r="AR22" s="23">
        <f>IF(W22="","",IF('分位数阈值'!$D$16="","",IFS(W22&lt;='分位数阈值'!$G$16,5,W22&lt;='分位数阈值'!$F$16,4,W22&lt;='分位数阈值'!$E$16,3,W22&lt;='分位数阈值'!$D$16,2,TRUE,1)))</f>
        <v/>
      </c>
      <c r="AS22" s="23">
        <f>IF(X22="","",X22)</f>
        <v/>
      </c>
      <c r="AT22" s="23">
        <f>IF(Y22="","",Y22)</f>
        <v/>
      </c>
      <c r="AU22" s="10">
        <f>IF($A22="","",IF(OR(Z22=1,AR22=1,AJ22=1),"淘汰","通过"))</f>
        <v/>
      </c>
      <c r="AV22" s="10">
        <f>IF($A22="","",IF(OR(AA22=1,AR22=1,AND(AK22=1,AI22=1),AO22=1),"淘汰","通过"))</f>
        <v/>
      </c>
      <c r="AW22" s="24">
        <f>IF($A22="","",IF(AU22="淘汰","",ROUND(SUMPRODUCT(Z22:AT22,Z$2:AT$2)/5,1)))</f>
        <v/>
      </c>
      <c r="AX22" s="24">
        <f>IF($A22="","",IF(AV22="淘汰","",ROUND(SUMPRODUCT(Z22:AT22,Z$3:AT$3)/5,1)))</f>
        <v/>
      </c>
    </row>
    <row r="23" ht="15.75" customHeight="1" s="25">
      <c r="A23" s="22" t="inlineStr">
        <is>
          <t>OSK019</t>
        </is>
      </c>
      <c r="B23" s="20" t="inlineStr">
        <is>
          <t>大阪府大阪市大正区三軒家西一丁目</t>
        </is>
      </c>
      <c r="C23" s="22" t="n">
        <v>34.665921</v>
      </c>
      <c r="D23" s="22" t="n">
        <v>135.471398</v>
      </c>
      <c r="E23" s="22" t="n">
        <v>7195</v>
      </c>
      <c r="F23" s="22" t="n">
        <v>71466</v>
      </c>
      <c r="G23" s="21" t="n">
        <v>0.499</v>
      </c>
      <c r="H23" s="21" t="n">
        <v>0.495</v>
      </c>
      <c r="I23" s="21" t="n">
        <v>0.8048999999999999</v>
      </c>
      <c r="J23" s="21" t="n">
        <v>0.5646</v>
      </c>
      <c r="K23" s="21" t="n">
        <v>0.2297</v>
      </c>
      <c r="L23" s="22" t="n">
        <v>3.2</v>
      </c>
      <c r="M23" s="22" t="n">
        <v>1</v>
      </c>
      <c r="N23" s="22" t="n">
        <v>13</v>
      </c>
      <c r="O23" s="22" t="n">
        <v>670</v>
      </c>
      <c r="P23" s="22" t="n">
        <v>0</v>
      </c>
      <c r="Q23" s="22" t="n">
        <v>0</v>
      </c>
      <c r="R23" s="22" t="n">
        <v>454</v>
      </c>
      <c r="S23" s="22" t="n">
        <v>738</v>
      </c>
      <c r="T23" s="22" t="n">
        <v>490</v>
      </c>
      <c r="U23" s="22" t="n">
        <v>1</v>
      </c>
      <c r="V23" s="22" t="n">
        <v>3</v>
      </c>
      <c r="W23" s="22" t="n">
        <v>12111</v>
      </c>
      <c r="X23" s="22" t="n">
        <v>5</v>
      </c>
      <c r="Y23" s="22" t="n">
        <v>4</v>
      </c>
      <c r="Z23" s="23">
        <f>IF(E23="","",IF('分位数阈值'!$D$2="","",IFS(E23&gt;='分位数阈值'!$D$2,5,E23&gt;='分位数阈值'!$E$2,4,E23&gt;='分位数阈值'!$F$2,3,E23&gt;='分位数阈值'!$G$2,2,TRUE,1)))</f>
        <v/>
      </c>
      <c r="AA23" s="23">
        <f>IF(F23="","",IF('分位数阈值'!$D$3="","",IFS(F23&gt;='分位数阈值'!$D$3,5,F23&gt;='分位数阈值'!$E$3,4,F23&gt;='分位数阈值'!$F$3,3,F23&gt;='分位数阈值'!$G$3,2,TRUE,1)))</f>
        <v/>
      </c>
      <c r="AB23" s="23">
        <f>IF(G23="","",IF('分位数阈值'!$D$4="","",IFS(G23&gt;='分位数阈值'!$D$4,5,G23&gt;='分位数阈值'!$E$4,4,G23&gt;='分位数阈值'!$F$4,3,G23&gt;='分位数阈值'!$G$4,2,TRUE,1)))</f>
        <v/>
      </c>
      <c r="AC23" s="23">
        <f>IF(H23="","",IF('分位数阈值'!$D$5="","",IFS(H23&gt;='分位数阈值'!$D$5,5,H23&gt;='分位数阈值'!$E$5,4,H23&gt;='分位数阈值'!$F$5,3,H23&gt;='分位数阈值'!$G$5,2,TRUE,1)))</f>
        <v/>
      </c>
      <c r="AD23" s="23">
        <f>IF(I23="","",IF('分位数阈值'!$D$6="","",IFS(I23&gt;='分位数阈值'!$D$6,5,I23&gt;='分位数阈值'!$E$6,4,I23&gt;='分位数阈值'!$F$6,3,I23&gt;='分位数阈值'!$G$6,2,TRUE,1)))</f>
        <v/>
      </c>
      <c r="AE23" s="23">
        <f>IF(J23="","",IF('分位数阈值'!$D$7="","",IFS(J23&gt;='分位数阈值'!$D$7,5,J23&gt;='分位数阈值'!$E$7,4,J23&gt;='分位数阈值'!$F$7,3,J23&gt;='分位数阈值'!$G$7,2,TRUE,1)))</f>
        <v/>
      </c>
      <c r="AF23" s="23">
        <f>IF(K23="","",IF('分位数阈值'!$D$8="","",IFS(K23&gt;='分位数阈值'!$D$8,5,K23&gt;='分位数阈值'!$E$8,4,K23&gt;='分位数阈值'!$F$8,3,K23&gt;='分位数阈值'!$G$8,2,TRUE,1)))</f>
        <v/>
      </c>
      <c r="AG23" s="23">
        <f>IF(L23="","",IF('分位数阈值'!$D$9="","",IFS(L23&gt;='分位数阈值'!$D$9,5,L23&gt;='分位数阈值'!$E$9,4,L23&gt;='分位数阈值'!$F$9,3,L23&gt;='分位数阈值'!$G$9,2,TRUE,1)))</f>
        <v/>
      </c>
      <c r="AH23" s="23">
        <f>IF(M23="","",IF('分位数阈值'!$D$10="","",IFS(M23&lt;='分位数阈值'!$G$10,5,M23&lt;='分位数阈值'!$F$10,4,M23&lt;='分位数阈值'!$E$10,3,M23&lt;='分位数阈值'!$D$10,2,TRUE,1)))</f>
        <v/>
      </c>
      <c r="AI23" s="23">
        <f>IF(N23="","",IF('分位数阈值'!$D$11="","",IFS(N23&lt;='分位数阈值'!$G$11,5,N23&lt;='分位数阈值'!$F$11,4,N23&lt;='分位数阈值'!$E$11,3,N23&lt;='分位数阈值'!$D$11,2,TRUE,1)))</f>
        <v/>
      </c>
      <c r="AJ23" s="23">
        <f>IF(P23="","",IF(P23=1,1,5))</f>
        <v/>
      </c>
      <c r="AK23" s="23">
        <f>IF(Q23="","",IF(Q23=1,1,5))</f>
        <v/>
      </c>
      <c r="AL23" s="23">
        <f>IF(O23="","",IF('分位数阈值'!$D$12="","",IFS(O23&gt;='分位数阈值'!$D$12,5,O23&gt;='分位数阈值'!$E$12,4,O23&gt;='分位数阈值'!$F$12,3,O23&gt;='分位数阈值'!$G$12,2,TRUE,1)))</f>
        <v/>
      </c>
      <c r="AM23" s="23">
        <f>IF(R23="","",IF('分位数阈值'!$D$13="","",IFS(R23&lt;='分位数阈值'!$G$13,5,R23&lt;='分位数阈值'!$F$13,4,R23&lt;='分位数阈值'!$E$13,3,R23&lt;='分位数阈值'!$D$13,2,TRUE,1)))</f>
        <v/>
      </c>
      <c r="AN23" s="23">
        <f>IF(S23="","",IF('分位数阈值'!$D$14="","",IFS(S23&lt;='分位数阈值'!$G$14,5,S23&lt;='分位数阈值'!$F$14,4,S23&lt;='分位数阈值'!$E$14,3,S23&lt;='分位数阈值'!$D$14,2,TRUE,1)))</f>
        <v/>
      </c>
      <c r="AO23" s="23">
        <f>IF(T23="","",IF('分位数阈值'!$D$15="","",IFS(T23&lt;='分位数阈值'!$G$15,5,T23&lt;='分位数阈值'!$F$15,4,T23&lt;='分位数阈值'!$E$15,3,T23&lt;='分位数阈值'!$D$15,2,TRUE,1)))</f>
        <v/>
      </c>
      <c r="AP23" s="23">
        <f>IF(U23="","",IF(U23=1,5,1))</f>
        <v/>
      </c>
      <c r="AQ23" s="23">
        <f>IF(V23="","",V23)</f>
        <v/>
      </c>
      <c r="AR23" s="23">
        <f>IF(W23="","",IF('分位数阈值'!$D$16="","",IFS(W23&lt;='分位数阈值'!$G$16,5,W23&lt;='分位数阈值'!$F$16,4,W23&lt;='分位数阈值'!$E$16,3,W23&lt;='分位数阈值'!$D$16,2,TRUE,1)))</f>
        <v/>
      </c>
      <c r="AS23" s="23">
        <f>IF(X23="","",X23)</f>
        <v/>
      </c>
      <c r="AT23" s="23">
        <f>IF(Y23="","",Y23)</f>
        <v/>
      </c>
      <c r="AU23" s="10">
        <f>IF($A23="","",IF(OR(Z23=1,AR23=1,AJ23=1),"淘汰","通过"))</f>
        <v/>
      </c>
      <c r="AV23" s="10">
        <f>IF($A23="","",IF(OR(AA23=1,AR23=1,AND(AK23=1,AI23=1),AO23=1),"淘汰","通过"))</f>
        <v/>
      </c>
      <c r="AW23" s="24">
        <f>IF($A23="","",IF(AU23="淘汰","",ROUND(SUMPRODUCT(Z23:AT23,Z$2:AT$2)/5,1)))</f>
        <v/>
      </c>
      <c r="AX23" s="24">
        <f>IF($A23="","",IF(AV23="淘汰","",ROUND(SUMPRODUCT(Z23:AT23,Z$3:AT$3)/5,1)))</f>
        <v/>
      </c>
    </row>
    <row r="24" ht="15.75" customHeight="1" s="25">
      <c r="A24" s="22" t="inlineStr">
        <is>
          <t>OSK020</t>
        </is>
      </c>
      <c r="B24" s="20" t="inlineStr">
        <is>
          <t>大阪府大阪市港区弁天一丁目</t>
        </is>
      </c>
      <c r="C24" s="22" t="n">
        <v>34.672304</v>
      </c>
      <c r="D24" s="22" t="n">
        <v>135.460459</v>
      </c>
      <c r="E24" s="22" t="n">
        <v>14938</v>
      </c>
      <c r="F24" s="22" t="n">
        <v>121952</v>
      </c>
      <c r="G24" s="21" t="n">
        <v>0.7343</v>
      </c>
      <c r="H24" s="21" t="n">
        <v>0.6469</v>
      </c>
      <c r="I24" s="21" t="n">
        <v>0.9272</v>
      </c>
      <c r="J24" s="21" t="n">
        <v>0.775</v>
      </c>
      <c r="K24" s="21" t="n">
        <v>0.245</v>
      </c>
      <c r="L24" s="22" t="n">
        <v>4.23</v>
      </c>
      <c r="M24" s="22" t="n">
        <v>3</v>
      </c>
      <c r="N24" s="22" t="n">
        <v>19</v>
      </c>
      <c r="O24" s="22" t="n">
        <v>287</v>
      </c>
      <c r="P24" s="22" t="n">
        <v>0</v>
      </c>
      <c r="Q24" s="22" t="n">
        <v>0</v>
      </c>
      <c r="R24" s="22" t="n">
        <v>599</v>
      </c>
      <c r="S24" s="22" t="n">
        <v>485</v>
      </c>
      <c r="T24" s="22" t="n">
        <v>208</v>
      </c>
      <c r="U24" s="22" t="n">
        <v>1</v>
      </c>
      <c r="V24" s="22" t="n">
        <v>3</v>
      </c>
      <c r="W24" s="22" t="n">
        <v>24927</v>
      </c>
      <c r="X24" s="22" t="n">
        <v>4</v>
      </c>
      <c r="Y24" s="22" t="n">
        <v>4</v>
      </c>
      <c r="Z24" s="23">
        <f>IF(E24="","",IF('分位数阈值'!$D$2="","",IFS(E24&gt;='分位数阈值'!$D$2,5,E24&gt;='分位数阈值'!$E$2,4,E24&gt;='分位数阈值'!$F$2,3,E24&gt;='分位数阈值'!$G$2,2,TRUE,1)))</f>
        <v/>
      </c>
      <c r="AA24" s="23">
        <f>IF(F24="","",IF('分位数阈值'!$D$3="","",IFS(F24&gt;='分位数阈值'!$D$3,5,F24&gt;='分位数阈值'!$E$3,4,F24&gt;='分位数阈值'!$F$3,3,F24&gt;='分位数阈值'!$G$3,2,TRUE,1)))</f>
        <v/>
      </c>
      <c r="AB24" s="23">
        <f>IF(G24="","",IF('分位数阈值'!$D$4="","",IFS(G24&gt;='分位数阈值'!$D$4,5,G24&gt;='分位数阈值'!$E$4,4,G24&gt;='分位数阈值'!$F$4,3,G24&gt;='分位数阈值'!$G$4,2,TRUE,1)))</f>
        <v/>
      </c>
      <c r="AC24" s="23">
        <f>IF(H24="","",IF('分位数阈值'!$D$5="","",IFS(H24&gt;='分位数阈值'!$D$5,5,H24&gt;='分位数阈值'!$E$5,4,H24&gt;='分位数阈值'!$F$5,3,H24&gt;='分位数阈值'!$G$5,2,TRUE,1)))</f>
        <v/>
      </c>
      <c r="AD24" s="23">
        <f>IF(I24="","",IF('分位数阈值'!$D$6="","",IFS(I24&gt;='分位数阈值'!$D$6,5,I24&gt;='分位数阈值'!$E$6,4,I24&gt;='分位数阈值'!$F$6,3,I24&gt;='分位数阈值'!$G$6,2,TRUE,1)))</f>
        <v/>
      </c>
      <c r="AE24" s="23">
        <f>IF(J24="","",IF('分位数阈值'!$D$7="","",IFS(J24&gt;='分位数阈值'!$D$7,5,J24&gt;='分位数阈值'!$E$7,4,J24&gt;='分位数阈值'!$F$7,3,J24&gt;='分位数阈值'!$G$7,2,TRUE,1)))</f>
        <v/>
      </c>
      <c r="AF24" s="23">
        <f>IF(K24="","",IF('分位数阈值'!$D$8="","",IFS(K24&gt;='分位数阈值'!$D$8,5,K24&gt;='分位数阈值'!$E$8,4,K24&gt;='分位数阈值'!$F$8,3,K24&gt;='分位数阈值'!$G$8,2,TRUE,1)))</f>
        <v/>
      </c>
      <c r="AG24" s="23">
        <f>IF(L24="","",IF('分位数阈值'!$D$9="","",IFS(L24&gt;='分位数阈值'!$D$9,5,L24&gt;='分位数阈值'!$E$9,4,L24&gt;='分位数阈值'!$F$9,3,L24&gt;='分位数阈值'!$G$9,2,TRUE,1)))</f>
        <v/>
      </c>
      <c r="AH24" s="23">
        <f>IF(M24="","",IF('分位数阈值'!$D$10="","",IFS(M24&lt;='分位数阈值'!$G$10,5,M24&lt;='分位数阈值'!$F$10,4,M24&lt;='分位数阈值'!$E$10,3,M24&lt;='分位数阈值'!$D$10,2,TRUE,1)))</f>
        <v/>
      </c>
      <c r="AI24" s="23">
        <f>IF(N24="","",IF('分位数阈值'!$D$11="","",IFS(N24&lt;='分位数阈值'!$G$11,5,N24&lt;='分位数阈值'!$F$11,4,N24&lt;='分位数阈值'!$E$11,3,N24&lt;='分位数阈值'!$D$11,2,TRUE,1)))</f>
        <v/>
      </c>
      <c r="AJ24" s="23">
        <f>IF(P24="","",IF(P24=1,1,5))</f>
        <v/>
      </c>
      <c r="AK24" s="23">
        <f>IF(Q24="","",IF(Q24=1,1,5))</f>
        <v/>
      </c>
      <c r="AL24" s="23">
        <f>IF(O24="","",IF('分位数阈值'!$D$12="","",IFS(O24&gt;='分位数阈值'!$D$12,5,O24&gt;='分位数阈值'!$E$12,4,O24&gt;='分位数阈值'!$F$12,3,O24&gt;='分位数阈值'!$G$12,2,TRUE,1)))</f>
        <v/>
      </c>
      <c r="AM24" s="23">
        <f>IF(R24="","",IF('分位数阈值'!$D$13="","",IFS(R24&lt;='分位数阈值'!$G$13,5,R24&lt;='分位数阈值'!$F$13,4,R24&lt;='分位数阈值'!$E$13,3,R24&lt;='分位数阈值'!$D$13,2,TRUE,1)))</f>
        <v/>
      </c>
      <c r="AN24" s="23">
        <f>IF(S24="","",IF('分位数阈值'!$D$14="","",IFS(S24&lt;='分位数阈值'!$G$14,5,S24&lt;='分位数阈值'!$F$14,4,S24&lt;='分位数阈值'!$E$14,3,S24&lt;='分位数阈值'!$D$14,2,TRUE,1)))</f>
        <v/>
      </c>
      <c r="AO24" s="23">
        <f>IF(T24="","",IF('分位数阈值'!$D$15="","",IFS(T24&lt;='分位数阈值'!$G$15,5,T24&lt;='分位数阈值'!$F$15,4,T24&lt;='分位数阈值'!$E$15,3,T24&lt;='分位数阈值'!$D$15,2,TRUE,1)))</f>
        <v/>
      </c>
      <c r="AP24" s="23">
        <f>IF(U24="","",IF(U24=1,5,1))</f>
        <v/>
      </c>
      <c r="AQ24" s="23">
        <f>IF(V24="","",V24)</f>
        <v/>
      </c>
      <c r="AR24" s="23">
        <f>IF(W24="","",IF('分位数阈值'!$D$16="","",IFS(W24&lt;='分位数阈值'!$G$16,5,W24&lt;='分位数阈值'!$F$16,4,W24&lt;='分位数阈值'!$E$16,3,W24&lt;='分位数阈值'!$D$16,2,TRUE,1)))</f>
        <v/>
      </c>
      <c r="AS24" s="23">
        <f>IF(X24="","",X24)</f>
        <v/>
      </c>
      <c r="AT24" s="23">
        <f>IF(Y24="","",Y24)</f>
        <v/>
      </c>
      <c r="AU24" s="10">
        <f>IF($A24="","",IF(OR(Z24=1,AR24=1,AJ24=1),"淘汰","通过"))</f>
        <v/>
      </c>
      <c r="AV24" s="10">
        <f>IF($A24="","",IF(OR(AA24=1,AR24=1,AND(AK24=1,AI24=1),AO24=1),"淘汰","通过"))</f>
        <v/>
      </c>
      <c r="AW24" s="24">
        <f>IF($A24="","",IF(AU24="淘汰","",ROUND(SUMPRODUCT(Z24:AT24,Z$2:AT$2)/5,1)))</f>
        <v/>
      </c>
      <c r="AX24" s="24">
        <f>IF($A24="","",IF(AV24="淘汰","",ROUND(SUMPRODUCT(Z24:AT24,Z$3:AT$3)/5,1)))</f>
        <v/>
      </c>
    </row>
    <row r="25" ht="15.75" customHeight="1" s="25">
      <c r="A25" s="22" t="n"/>
      <c r="B25" s="20" t="n"/>
      <c r="C25" s="22" t="n"/>
      <c r="D25" s="22" t="n"/>
      <c r="E25" s="22" t="n"/>
      <c r="F25" s="22" t="n"/>
      <c r="G25" s="21" t="n"/>
      <c r="H25" s="21" t="n"/>
      <c r="I25" s="21" t="n"/>
      <c r="J25" s="21" t="n"/>
      <c r="K25" s="21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3">
        <f>IF(E25="","",IF('分位数阈值'!$D$2="","",IFS(E25&gt;='分位数阈值'!$D$2,5,E25&gt;='分位数阈值'!$E$2,4,E25&gt;='分位数阈值'!$F$2,3,E25&gt;='分位数阈值'!$G$2,2,TRUE,1)))</f>
        <v/>
      </c>
      <c r="AA25" s="23">
        <f>IF(F25="","",IF('分位数阈值'!$D$3="","",IFS(F25&gt;='分位数阈值'!$D$3,5,F25&gt;='分位数阈值'!$E$3,4,F25&gt;='分位数阈值'!$F$3,3,F25&gt;='分位数阈值'!$G$3,2,TRUE,1)))</f>
        <v/>
      </c>
      <c r="AB25" s="23">
        <f>IF(G25="","",IF('分位数阈值'!$D$4="","",IFS(G25&gt;='分位数阈值'!$D$4,5,G25&gt;='分位数阈值'!$E$4,4,G25&gt;='分位数阈值'!$F$4,3,G25&gt;='分位数阈值'!$G$4,2,TRUE,1)))</f>
        <v/>
      </c>
      <c r="AC25" s="23">
        <f>IF(H25="","",IF('分位数阈值'!$D$5="","",IFS(H25&gt;='分位数阈值'!$D$5,5,H25&gt;='分位数阈值'!$E$5,4,H25&gt;='分位数阈值'!$F$5,3,H25&gt;='分位数阈值'!$G$5,2,TRUE,1)))</f>
        <v/>
      </c>
      <c r="AD25" s="23">
        <f>IF(I25="","",IF('分位数阈值'!$D$6="","",IFS(I25&gt;='分位数阈值'!$D$6,5,I25&gt;='分位数阈值'!$E$6,4,I25&gt;='分位数阈值'!$F$6,3,I25&gt;='分位数阈值'!$G$6,2,TRUE,1)))</f>
        <v/>
      </c>
      <c r="AE25" s="23">
        <f>IF(J25="","",IF('分位数阈值'!$D$7="","",IFS(J25&gt;='分位数阈值'!$D$7,5,J25&gt;='分位数阈值'!$E$7,4,J25&gt;='分位数阈值'!$F$7,3,J25&gt;='分位数阈值'!$G$7,2,TRUE,1)))</f>
        <v/>
      </c>
      <c r="AF25" s="23">
        <f>IF(K25="","",IF('分位数阈值'!$D$8="","",IFS(K25&gt;='分位数阈值'!$D$8,5,K25&gt;='分位数阈值'!$E$8,4,K25&gt;='分位数阈值'!$F$8,3,K25&gt;='分位数阈值'!$G$8,2,TRUE,1)))</f>
        <v/>
      </c>
      <c r="AG25" s="23">
        <f>IF(L25="","",IF('分位数阈值'!$D$9="","",IFS(L25&gt;='分位数阈值'!$D$9,5,L25&gt;='分位数阈值'!$E$9,4,L25&gt;='分位数阈值'!$F$9,3,L25&gt;='分位数阈值'!$G$9,2,TRUE,1)))</f>
        <v/>
      </c>
      <c r="AH25" s="23">
        <f>IF(M25="","",IF('分位数阈值'!$D$10="","",IFS(M25&lt;='分位数阈值'!$G$10,5,M25&lt;='分位数阈值'!$F$10,4,M25&lt;='分位数阈值'!$E$10,3,M25&lt;='分位数阈值'!$D$10,2,TRUE,1)))</f>
        <v/>
      </c>
      <c r="AI25" s="23">
        <f>IF(N25="","",IF('分位数阈值'!$D$11="","",IFS(N25&lt;='分位数阈值'!$G$11,5,N25&lt;='分位数阈值'!$F$11,4,N25&lt;='分位数阈值'!$E$11,3,N25&lt;='分位数阈值'!$D$11,2,TRUE,1)))</f>
        <v/>
      </c>
      <c r="AJ25" s="23">
        <f>IF(P25="","",IF(P25=1,1,5))</f>
        <v/>
      </c>
      <c r="AK25" s="23">
        <f>IF(Q25="","",IF(Q25=1,1,5))</f>
        <v/>
      </c>
      <c r="AL25" s="23">
        <f>IF(O25="","",IF('分位数阈值'!$D$12="","",IFS(O25&gt;='分位数阈值'!$D$12,5,O25&gt;='分位数阈值'!$E$12,4,O25&gt;='分位数阈值'!$F$12,3,O25&gt;='分位数阈值'!$G$12,2,TRUE,1)))</f>
        <v/>
      </c>
      <c r="AM25" s="23">
        <f>IF(R25="","",IF('分位数阈值'!$D$13="","",IFS(R25&lt;='分位数阈值'!$G$13,5,R25&lt;='分位数阈值'!$F$13,4,R25&lt;='分位数阈值'!$E$13,3,R25&lt;='分位数阈值'!$D$13,2,TRUE,1)))</f>
        <v/>
      </c>
      <c r="AN25" s="23">
        <f>IF(S25="","",IF('分位数阈值'!$D$14="","",IFS(S25&lt;='分位数阈值'!$G$14,5,S25&lt;='分位数阈值'!$F$14,4,S25&lt;='分位数阈值'!$E$14,3,S25&lt;='分位数阈值'!$D$14,2,TRUE,1)))</f>
        <v/>
      </c>
      <c r="AO25" s="23">
        <f>IF(T25="","",IF('分位数阈值'!$D$15="","",IFS(T25&lt;='分位数阈值'!$G$15,5,T25&lt;='分位数阈值'!$F$15,4,T25&lt;='分位数阈值'!$E$15,3,T25&lt;='分位数阈值'!$D$15,2,TRUE,1)))</f>
        <v/>
      </c>
      <c r="AP25" s="23">
        <f>IF(U25="","",IF(U25=1,5,1))</f>
        <v/>
      </c>
      <c r="AQ25" s="23">
        <f>IF(V25="","",V25)</f>
        <v/>
      </c>
      <c r="AR25" s="23">
        <f>IF(W25="","",IF('分位数阈值'!$D$16="","",IFS(W25&lt;='分位数阈值'!$G$16,5,W25&lt;='分位数阈值'!$F$16,4,W25&lt;='分位数阈值'!$E$16,3,W25&lt;='分位数阈值'!$D$16,2,TRUE,1)))</f>
        <v/>
      </c>
      <c r="AS25" s="23">
        <f>IF(X25="","",X25)</f>
        <v/>
      </c>
      <c r="AT25" s="23">
        <f>IF(Y25="","",Y25)</f>
        <v/>
      </c>
      <c r="AU25" s="10">
        <f>IF($A25="","",IF(OR(Z25=1,AR25=1,AJ25=1),"淘汰","通过"))</f>
        <v/>
      </c>
      <c r="AV25" s="10">
        <f>IF($A25="","",IF(OR(AA25=1,AR25=1,AND(AK25=1,AI25=1),AO25=1),"淘汰","通过"))</f>
        <v/>
      </c>
      <c r="AW25" s="24">
        <f>IF($A25="","",IF(AU25="淘汰","",ROUND(SUMPRODUCT(Z25:AT25,Z$2:AT$2)/5,1)))</f>
        <v/>
      </c>
      <c r="AX25" s="24">
        <f>IF($A25="","",IF(AV25="淘汰","",ROUND(SUMPRODUCT(Z25:AT25,Z$3:AT$3)/5,1)))</f>
        <v/>
      </c>
    </row>
    <row r="26" ht="15.75" customHeight="1" s="25">
      <c r="A26" s="22" t="n"/>
      <c r="B26" s="20" t="n"/>
      <c r="C26" s="22" t="n"/>
      <c r="D26" s="22" t="n"/>
      <c r="E26" s="22" t="n"/>
      <c r="F26" s="22" t="n"/>
      <c r="G26" s="21" t="n"/>
      <c r="H26" s="21" t="n"/>
      <c r="I26" s="21" t="n"/>
      <c r="J26" s="21" t="n"/>
      <c r="K26" s="21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3">
        <f>IF(E26="","",IF('分位数阈值'!$D$2="","",IFS(E26&gt;='分位数阈值'!$D$2,5,E26&gt;='分位数阈值'!$E$2,4,E26&gt;='分位数阈值'!$F$2,3,E26&gt;='分位数阈值'!$G$2,2,TRUE,1)))</f>
        <v/>
      </c>
      <c r="AA26" s="23">
        <f>IF(F26="","",IF('分位数阈值'!$D$3="","",IFS(F26&gt;='分位数阈值'!$D$3,5,F26&gt;='分位数阈值'!$E$3,4,F26&gt;='分位数阈值'!$F$3,3,F26&gt;='分位数阈值'!$G$3,2,TRUE,1)))</f>
        <v/>
      </c>
      <c r="AB26" s="23">
        <f>IF(G26="","",IF('分位数阈值'!$D$4="","",IFS(G26&gt;='分位数阈值'!$D$4,5,G26&gt;='分位数阈值'!$E$4,4,G26&gt;='分位数阈值'!$F$4,3,G26&gt;='分位数阈值'!$G$4,2,TRUE,1)))</f>
        <v/>
      </c>
      <c r="AC26" s="23">
        <f>IF(H26="","",IF('分位数阈值'!$D$5="","",IFS(H26&gt;='分位数阈值'!$D$5,5,H26&gt;='分位数阈值'!$E$5,4,H26&gt;='分位数阈值'!$F$5,3,H26&gt;='分位数阈值'!$G$5,2,TRUE,1)))</f>
        <v/>
      </c>
      <c r="AD26" s="23">
        <f>IF(I26="","",IF('分位数阈值'!$D$6="","",IFS(I26&gt;='分位数阈值'!$D$6,5,I26&gt;='分位数阈值'!$E$6,4,I26&gt;='分位数阈值'!$F$6,3,I26&gt;='分位数阈值'!$G$6,2,TRUE,1)))</f>
        <v/>
      </c>
      <c r="AE26" s="23">
        <f>IF(J26="","",IF('分位数阈值'!$D$7="","",IFS(J26&gt;='分位数阈值'!$D$7,5,J26&gt;='分位数阈值'!$E$7,4,J26&gt;='分位数阈值'!$F$7,3,J26&gt;='分位数阈值'!$G$7,2,TRUE,1)))</f>
        <v/>
      </c>
      <c r="AF26" s="23">
        <f>IF(K26="","",IF('分位数阈值'!$D$8="","",IFS(K26&gt;='分位数阈值'!$D$8,5,K26&gt;='分位数阈值'!$E$8,4,K26&gt;='分位数阈值'!$F$8,3,K26&gt;='分位数阈值'!$G$8,2,TRUE,1)))</f>
        <v/>
      </c>
      <c r="AG26" s="23">
        <f>IF(L26="","",IF('分位数阈值'!$D$9="","",IFS(L26&gt;='分位数阈值'!$D$9,5,L26&gt;='分位数阈值'!$E$9,4,L26&gt;='分位数阈值'!$F$9,3,L26&gt;='分位数阈值'!$G$9,2,TRUE,1)))</f>
        <v/>
      </c>
      <c r="AH26" s="23">
        <f>IF(M26="","",IF('分位数阈值'!$D$10="","",IFS(M26&lt;='分位数阈值'!$G$10,5,M26&lt;='分位数阈值'!$F$10,4,M26&lt;='分位数阈值'!$E$10,3,M26&lt;='分位数阈值'!$D$10,2,TRUE,1)))</f>
        <v/>
      </c>
      <c r="AI26" s="23">
        <f>IF(N26="","",IF('分位数阈值'!$D$11="","",IFS(N26&lt;='分位数阈值'!$G$11,5,N26&lt;='分位数阈值'!$F$11,4,N26&lt;='分位数阈值'!$E$11,3,N26&lt;='分位数阈值'!$D$11,2,TRUE,1)))</f>
        <v/>
      </c>
      <c r="AJ26" s="23">
        <f>IF(P26="","",IF(P26=1,1,5))</f>
        <v/>
      </c>
      <c r="AK26" s="23">
        <f>IF(Q26="","",IF(Q26=1,1,5))</f>
        <v/>
      </c>
      <c r="AL26" s="23">
        <f>IF(O26="","",IF('分位数阈值'!$D$12="","",IFS(O26&gt;='分位数阈值'!$D$12,5,O26&gt;='分位数阈值'!$E$12,4,O26&gt;='分位数阈值'!$F$12,3,O26&gt;='分位数阈值'!$G$12,2,TRUE,1)))</f>
        <v/>
      </c>
      <c r="AM26" s="23">
        <f>IF(R26="","",IF('分位数阈值'!$D$13="","",IFS(R26&lt;='分位数阈值'!$G$13,5,R26&lt;='分位数阈值'!$F$13,4,R26&lt;='分位数阈值'!$E$13,3,R26&lt;='分位数阈值'!$D$13,2,TRUE,1)))</f>
        <v/>
      </c>
      <c r="AN26" s="23">
        <f>IF(S26="","",IF('分位数阈值'!$D$14="","",IFS(S26&lt;='分位数阈值'!$G$14,5,S26&lt;='分位数阈值'!$F$14,4,S26&lt;='分位数阈值'!$E$14,3,S26&lt;='分位数阈值'!$D$14,2,TRUE,1)))</f>
        <v/>
      </c>
      <c r="AO26" s="23">
        <f>IF(T26="","",IF('分位数阈值'!$D$15="","",IFS(T26&lt;='分位数阈值'!$G$15,5,T26&lt;='分位数阈值'!$F$15,4,T26&lt;='分位数阈值'!$E$15,3,T26&lt;='分位数阈值'!$D$15,2,TRUE,1)))</f>
        <v/>
      </c>
      <c r="AP26" s="23">
        <f>IF(U26="","",IF(U26=1,5,1))</f>
        <v/>
      </c>
      <c r="AQ26" s="23">
        <f>IF(V26="","",V26)</f>
        <v/>
      </c>
      <c r="AR26" s="23">
        <f>IF(W26="","",IF('分位数阈值'!$D$16="","",IFS(W26&lt;='分位数阈值'!$G$16,5,W26&lt;='分位数阈值'!$F$16,4,W26&lt;='分位数阈值'!$E$16,3,W26&lt;='分位数阈值'!$D$16,2,TRUE,1)))</f>
        <v/>
      </c>
      <c r="AS26" s="23">
        <f>IF(X26="","",X26)</f>
        <v/>
      </c>
      <c r="AT26" s="23">
        <f>IF(Y26="","",Y26)</f>
        <v/>
      </c>
      <c r="AU26" s="10">
        <f>IF($A26="","",IF(OR(Z26=1,AR26=1,AJ26=1),"淘汰","通过"))</f>
        <v/>
      </c>
      <c r="AV26" s="10">
        <f>IF($A26="","",IF(OR(AA26=1,AR26=1,AND(AK26=1,AI26=1),AO26=1),"淘汰","通过"))</f>
        <v/>
      </c>
      <c r="AW26" s="24">
        <f>IF($A26="","",IF(AU26="淘汰","",ROUND(SUMPRODUCT(Z26:AT26,Z$2:AT$2)/5,1)))</f>
        <v/>
      </c>
      <c r="AX26" s="24">
        <f>IF($A26="","",IF(AV26="淘汰","",ROUND(SUMPRODUCT(Z26:AT26,Z$3:AT$3)/5,1)))</f>
        <v/>
      </c>
    </row>
    <row r="27" ht="15.75" customHeight="1" s="25">
      <c r="A27" s="22" t="n"/>
      <c r="B27" s="20" t="n"/>
      <c r="C27" s="22" t="n"/>
      <c r="D27" s="22" t="n"/>
      <c r="E27" s="22" t="n"/>
      <c r="F27" s="22" t="n"/>
      <c r="G27" s="21" t="n"/>
      <c r="H27" s="21" t="n"/>
      <c r="I27" s="21" t="n"/>
      <c r="J27" s="21" t="n"/>
      <c r="K27" s="21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3">
        <f>IF(E27="","",IF('分位数阈值'!$D$2="","",IFS(E27&gt;='分位数阈值'!$D$2,5,E27&gt;='分位数阈值'!$E$2,4,E27&gt;='分位数阈值'!$F$2,3,E27&gt;='分位数阈值'!$G$2,2,TRUE,1)))</f>
        <v/>
      </c>
      <c r="AA27" s="23">
        <f>IF(F27="","",IF('分位数阈值'!$D$3="","",IFS(F27&gt;='分位数阈值'!$D$3,5,F27&gt;='分位数阈值'!$E$3,4,F27&gt;='分位数阈值'!$F$3,3,F27&gt;='分位数阈值'!$G$3,2,TRUE,1)))</f>
        <v/>
      </c>
      <c r="AB27" s="23">
        <f>IF(G27="","",IF('分位数阈值'!$D$4="","",IFS(G27&gt;='分位数阈值'!$D$4,5,G27&gt;='分位数阈值'!$E$4,4,G27&gt;='分位数阈值'!$F$4,3,G27&gt;='分位数阈值'!$G$4,2,TRUE,1)))</f>
        <v/>
      </c>
      <c r="AC27" s="23">
        <f>IF(H27="","",IF('分位数阈值'!$D$5="","",IFS(H27&gt;='分位数阈值'!$D$5,5,H27&gt;='分位数阈值'!$E$5,4,H27&gt;='分位数阈值'!$F$5,3,H27&gt;='分位数阈值'!$G$5,2,TRUE,1)))</f>
        <v/>
      </c>
      <c r="AD27" s="23">
        <f>IF(I27="","",IF('分位数阈值'!$D$6="","",IFS(I27&gt;='分位数阈值'!$D$6,5,I27&gt;='分位数阈值'!$E$6,4,I27&gt;='分位数阈值'!$F$6,3,I27&gt;='分位数阈值'!$G$6,2,TRUE,1)))</f>
        <v/>
      </c>
      <c r="AE27" s="23">
        <f>IF(J27="","",IF('分位数阈值'!$D$7="","",IFS(J27&gt;='分位数阈值'!$D$7,5,J27&gt;='分位数阈值'!$E$7,4,J27&gt;='分位数阈值'!$F$7,3,J27&gt;='分位数阈值'!$G$7,2,TRUE,1)))</f>
        <v/>
      </c>
      <c r="AF27" s="23">
        <f>IF(K27="","",IF('分位数阈值'!$D$8="","",IFS(K27&gt;='分位数阈值'!$D$8,5,K27&gt;='分位数阈值'!$E$8,4,K27&gt;='分位数阈值'!$F$8,3,K27&gt;='分位数阈值'!$G$8,2,TRUE,1)))</f>
        <v/>
      </c>
      <c r="AG27" s="23">
        <f>IF(L27="","",IF('分位数阈值'!$D$9="","",IFS(L27&gt;='分位数阈值'!$D$9,5,L27&gt;='分位数阈值'!$E$9,4,L27&gt;='分位数阈值'!$F$9,3,L27&gt;='分位数阈值'!$G$9,2,TRUE,1)))</f>
        <v/>
      </c>
      <c r="AH27" s="23">
        <f>IF(M27="","",IF('分位数阈值'!$D$10="","",IFS(M27&lt;='分位数阈值'!$G$10,5,M27&lt;='分位数阈值'!$F$10,4,M27&lt;='分位数阈值'!$E$10,3,M27&lt;='分位数阈值'!$D$10,2,TRUE,1)))</f>
        <v/>
      </c>
      <c r="AI27" s="23">
        <f>IF(N27="","",IF('分位数阈值'!$D$11="","",IFS(N27&lt;='分位数阈值'!$G$11,5,N27&lt;='分位数阈值'!$F$11,4,N27&lt;='分位数阈值'!$E$11,3,N27&lt;='分位数阈值'!$D$11,2,TRUE,1)))</f>
        <v/>
      </c>
      <c r="AJ27" s="23">
        <f>IF(P27="","",IF(P27=1,1,5))</f>
        <v/>
      </c>
      <c r="AK27" s="23">
        <f>IF(Q27="","",IF(Q27=1,1,5))</f>
        <v/>
      </c>
      <c r="AL27" s="23">
        <f>IF(O27="","",IF('分位数阈值'!$D$12="","",IFS(O27&gt;='分位数阈值'!$D$12,5,O27&gt;='分位数阈值'!$E$12,4,O27&gt;='分位数阈值'!$F$12,3,O27&gt;='分位数阈值'!$G$12,2,TRUE,1)))</f>
        <v/>
      </c>
      <c r="AM27" s="23">
        <f>IF(R27="","",IF('分位数阈值'!$D$13="","",IFS(R27&lt;='分位数阈值'!$G$13,5,R27&lt;='分位数阈值'!$F$13,4,R27&lt;='分位数阈值'!$E$13,3,R27&lt;='分位数阈值'!$D$13,2,TRUE,1)))</f>
        <v/>
      </c>
      <c r="AN27" s="23">
        <f>IF(S27="","",IF('分位数阈值'!$D$14="","",IFS(S27&lt;='分位数阈值'!$G$14,5,S27&lt;='分位数阈值'!$F$14,4,S27&lt;='分位数阈值'!$E$14,3,S27&lt;='分位数阈值'!$D$14,2,TRUE,1)))</f>
        <v/>
      </c>
      <c r="AO27" s="23">
        <f>IF(T27="","",IF('分位数阈值'!$D$15="","",IFS(T27&lt;='分位数阈值'!$G$15,5,T27&lt;='分位数阈值'!$F$15,4,T27&lt;='分位数阈值'!$E$15,3,T27&lt;='分位数阈值'!$D$15,2,TRUE,1)))</f>
        <v/>
      </c>
      <c r="AP27" s="23">
        <f>IF(U27="","",IF(U27=1,5,1))</f>
        <v/>
      </c>
      <c r="AQ27" s="23">
        <f>IF(V27="","",V27)</f>
        <v/>
      </c>
      <c r="AR27" s="23">
        <f>IF(W27="","",IF('分位数阈值'!$D$16="","",IFS(W27&lt;='分位数阈值'!$G$16,5,W27&lt;='分位数阈值'!$F$16,4,W27&lt;='分位数阈值'!$E$16,3,W27&lt;='分位数阈值'!$D$16,2,TRUE,1)))</f>
        <v/>
      </c>
      <c r="AS27" s="23">
        <f>IF(X27="","",X27)</f>
        <v/>
      </c>
      <c r="AT27" s="23">
        <f>IF(Y27="","",Y27)</f>
        <v/>
      </c>
      <c r="AU27" s="10">
        <f>IF($A27="","",IF(OR(Z27=1,AR27=1,AJ27=1),"淘汰","通过"))</f>
        <v/>
      </c>
      <c r="AV27" s="10">
        <f>IF($A27="","",IF(OR(AA27=1,AR27=1,AND(AK27=1,AI27=1),AO27=1),"淘汰","通过"))</f>
        <v/>
      </c>
      <c r="AW27" s="24">
        <f>IF($A27="","",IF(AU27="淘汰","",ROUND(SUMPRODUCT(Z27:AT27,Z$2:AT$2)/5,1)))</f>
        <v/>
      </c>
      <c r="AX27" s="24">
        <f>IF($A27="","",IF(AV27="淘汰","",ROUND(SUMPRODUCT(Z27:AT27,Z$3:AT$3)/5,1)))</f>
        <v/>
      </c>
    </row>
    <row r="28" ht="15.75" customHeight="1" s="25">
      <c r="A28" s="22" t="n"/>
      <c r="B28" s="20" t="n"/>
      <c r="C28" s="22" t="n"/>
      <c r="D28" s="22" t="n"/>
      <c r="E28" s="22" t="n"/>
      <c r="F28" s="22" t="n"/>
      <c r="G28" s="21" t="n"/>
      <c r="H28" s="21" t="n"/>
      <c r="I28" s="21" t="n"/>
      <c r="J28" s="21" t="n"/>
      <c r="K28" s="21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3">
        <f>IF(E28="","",IF('分位数阈值'!$D$2="","",IFS(E28&gt;='分位数阈值'!$D$2,5,E28&gt;='分位数阈值'!$E$2,4,E28&gt;='分位数阈值'!$F$2,3,E28&gt;='分位数阈值'!$G$2,2,TRUE,1)))</f>
        <v/>
      </c>
      <c r="AA28" s="23">
        <f>IF(F28="","",IF('分位数阈值'!$D$3="","",IFS(F28&gt;='分位数阈值'!$D$3,5,F28&gt;='分位数阈值'!$E$3,4,F28&gt;='分位数阈值'!$F$3,3,F28&gt;='分位数阈值'!$G$3,2,TRUE,1)))</f>
        <v/>
      </c>
      <c r="AB28" s="23">
        <f>IF(G28="","",IF('分位数阈值'!$D$4="","",IFS(G28&gt;='分位数阈值'!$D$4,5,G28&gt;='分位数阈值'!$E$4,4,G28&gt;='分位数阈值'!$F$4,3,G28&gt;='分位数阈值'!$G$4,2,TRUE,1)))</f>
        <v/>
      </c>
      <c r="AC28" s="23">
        <f>IF(H28="","",IF('分位数阈值'!$D$5="","",IFS(H28&gt;='分位数阈值'!$D$5,5,H28&gt;='分位数阈值'!$E$5,4,H28&gt;='分位数阈值'!$F$5,3,H28&gt;='分位数阈值'!$G$5,2,TRUE,1)))</f>
        <v/>
      </c>
      <c r="AD28" s="23">
        <f>IF(I28="","",IF('分位数阈值'!$D$6="","",IFS(I28&gt;='分位数阈值'!$D$6,5,I28&gt;='分位数阈值'!$E$6,4,I28&gt;='分位数阈值'!$F$6,3,I28&gt;='分位数阈值'!$G$6,2,TRUE,1)))</f>
        <v/>
      </c>
      <c r="AE28" s="23">
        <f>IF(J28="","",IF('分位数阈值'!$D$7="","",IFS(J28&gt;='分位数阈值'!$D$7,5,J28&gt;='分位数阈值'!$E$7,4,J28&gt;='分位数阈值'!$F$7,3,J28&gt;='分位数阈值'!$G$7,2,TRUE,1)))</f>
        <v/>
      </c>
      <c r="AF28" s="23">
        <f>IF(K28="","",IF('分位数阈值'!$D$8="","",IFS(K28&gt;='分位数阈值'!$D$8,5,K28&gt;='分位数阈值'!$E$8,4,K28&gt;='分位数阈值'!$F$8,3,K28&gt;='分位数阈值'!$G$8,2,TRUE,1)))</f>
        <v/>
      </c>
      <c r="AG28" s="23">
        <f>IF(L28="","",IF('分位数阈值'!$D$9="","",IFS(L28&gt;='分位数阈值'!$D$9,5,L28&gt;='分位数阈值'!$E$9,4,L28&gt;='分位数阈值'!$F$9,3,L28&gt;='分位数阈值'!$G$9,2,TRUE,1)))</f>
        <v/>
      </c>
      <c r="AH28" s="23">
        <f>IF(M28="","",IF('分位数阈值'!$D$10="","",IFS(M28&lt;='分位数阈值'!$G$10,5,M28&lt;='分位数阈值'!$F$10,4,M28&lt;='分位数阈值'!$E$10,3,M28&lt;='分位数阈值'!$D$10,2,TRUE,1)))</f>
        <v/>
      </c>
      <c r="AI28" s="23">
        <f>IF(N28="","",IF('分位数阈值'!$D$11="","",IFS(N28&lt;='分位数阈值'!$G$11,5,N28&lt;='分位数阈值'!$F$11,4,N28&lt;='分位数阈值'!$E$11,3,N28&lt;='分位数阈值'!$D$11,2,TRUE,1)))</f>
        <v/>
      </c>
      <c r="AJ28" s="23">
        <f>IF(P28="","",IF(P28=1,1,5))</f>
        <v/>
      </c>
      <c r="AK28" s="23">
        <f>IF(Q28="","",IF(Q28=1,1,5))</f>
        <v/>
      </c>
      <c r="AL28" s="23">
        <f>IF(O28="","",IF('分位数阈值'!$D$12="","",IFS(O28&gt;='分位数阈值'!$D$12,5,O28&gt;='分位数阈值'!$E$12,4,O28&gt;='分位数阈值'!$F$12,3,O28&gt;='分位数阈值'!$G$12,2,TRUE,1)))</f>
        <v/>
      </c>
      <c r="AM28" s="23">
        <f>IF(R28="","",IF('分位数阈值'!$D$13="","",IFS(R28&lt;='分位数阈值'!$G$13,5,R28&lt;='分位数阈值'!$F$13,4,R28&lt;='分位数阈值'!$E$13,3,R28&lt;='分位数阈值'!$D$13,2,TRUE,1)))</f>
        <v/>
      </c>
      <c r="AN28" s="23">
        <f>IF(S28="","",IF('分位数阈值'!$D$14="","",IFS(S28&lt;='分位数阈值'!$G$14,5,S28&lt;='分位数阈值'!$F$14,4,S28&lt;='分位数阈值'!$E$14,3,S28&lt;='分位数阈值'!$D$14,2,TRUE,1)))</f>
        <v/>
      </c>
      <c r="AO28" s="23">
        <f>IF(T28="","",IF('分位数阈值'!$D$15="","",IFS(T28&lt;='分位数阈值'!$G$15,5,T28&lt;='分位数阈值'!$F$15,4,T28&lt;='分位数阈值'!$E$15,3,T28&lt;='分位数阈值'!$D$15,2,TRUE,1)))</f>
        <v/>
      </c>
      <c r="AP28" s="23">
        <f>IF(U28="","",IF(U28=1,5,1))</f>
        <v/>
      </c>
      <c r="AQ28" s="23">
        <f>IF(V28="","",V28)</f>
        <v/>
      </c>
      <c r="AR28" s="23">
        <f>IF(W28="","",IF('分位数阈值'!$D$16="","",IFS(W28&lt;='分位数阈值'!$G$16,5,W28&lt;='分位数阈值'!$F$16,4,W28&lt;='分位数阈值'!$E$16,3,W28&lt;='分位数阈值'!$D$16,2,TRUE,1)))</f>
        <v/>
      </c>
      <c r="AS28" s="23">
        <f>IF(X28="","",X28)</f>
        <v/>
      </c>
      <c r="AT28" s="23">
        <f>IF(Y28="","",Y28)</f>
        <v/>
      </c>
      <c r="AU28" s="10">
        <f>IF($A28="","",IF(OR(Z28=1,AR28=1,AJ28=1),"淘汰","通过"))</f>
        <v/>
      </c>
      <c r="AV28" s="10">
        <f>IF($A28="","",IF(OR(AA28=1,AR28=1,AND(AK28=1,AI28=1),AO28=1),"淘汰","通过"))</f>
        <v/>
      </c>
      <c r="AW28" s="24">
        <f>IF($A28="","",IF(AU28="淘汰","",ROUND(SUMPRODUCT(Z28:AT28,Z$2:AT$2)/5,1)))</f>
        <v/>
      </c>
      <c r="AX28" s="24">
        <f>IF($A28="","",IF(AV28="淘汰","",ROUND(SUMPRODUCT(Z28:AT28,Z$3:AT$3)/5,1)))</f>
        <v/>
      </c>
    </row>
    <row r="29" ht="15.75" customHeight="1" s="25">
      <c r="A29" s="22" t="n"/>
      <c r="B29" s="20" t="n"/>
      <c r="C29" s="22" t="n"/>
      <c r="D29" s="22" t="n"/>
      <c r="E29" s="22" t="n"/>
      <c r="F29" s="22" t="n"/>
      <c r="G29" s="21" t="n"/>
      <c r="H29" s="21" t="n"/>
      <c r="I29" s="21" t="n"/>
      <c r="J29" s="21" t="n"/>
      <c r="K29" s="21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3">
        <f>IF(E29="","",IF('分位数阈值'!$D$2="","",IFS(E29&gt;='分位数阈值'!$D$2,5,E29&gt;='分位数阈值'!$E$2,4,E29&gt;='分位数阈值'!$F$2,3,E29&gt;='分位数阈值'!$G$2,2,TRUE,1)))</f>
        <v/>
      </c>
      <c r="AA29" s="23">
        <f>IF(F29="","",IF('分位数阈值'!$D$3="","",IFS(F29&gt;='分位数阈值'!$D$3,5,F29&gt;='分位数阈值'!$E$3,4,F29&gt;='分位数阈值'!$F$3,3,F29&gt;='分位数阈值'!$G$3,2,TRUE,1)))</f>
        <v/>
      </c>
      <c r="AB29" s="23">
        <f>IF(G29="","",IF('分位数阈值'!$D$4="","",IFS(G29&gt;='分位数阈值'!$D$4,5,G29&gt;='分位数阈值'!$E$4,4,G29&gt;='分位数阈值'!$F$4,3,G29&gt;='分位数阈值'!$G$4,2,TRUE,1)))</f>
        <v/>
      </c>
      <c r="AC29" s="23">
        <f>IF(H29="","",IF('分位数阈值'!$D$5="","",IFS(H29&gt;='分位数阈值'!$D$5,5,H29&gt;='分位数阈值'!$E$5,4,H29&gt;='分位数阈值'!$F$5,3,H29&gt;='分位数阈值'!$G$5,2,TRUE,1)))</f>
        <v/>
      </c>
      <c r="AD29" s="23">
        <f>IF(I29="","",IF('分位数阈值'!$D$6="","",IFS(I29&gt;='分位数阈值'!$D$6,5,I29&gt;='分位数阈值'!$E$6,4,I29&gt;='分位数阈值'!$F$6,3,I29&gt;='分位数阈值'!$G$6,2,TRUE,1)))</f>
        <v/>
      </c>
      <c r="AE29" s="23">
        <f>IF(J29="","",IF('分位数阈值'!$D$7="","",IFS(J29&gt;='分位数阈值'!$D$7,5,J29&gt;='分位数阈值'!$E$7,4,J29&gt;='分位数阈值'!$F$7,3,J29&gt;='分位数阈值'!$G$7,2,TRUE,1)))</f>
        <v/>
      </c>
      <c r="AF29" s="23">
        <f>IF(K29="","",IF('分位数阈值'!$D$8="","",IFS(K29&gt;='分位数阈值'!$D$8,5,K29&gt;='分位数阈值'!$E$8,4,K29&gt;='分位数阈值'!$F$8,3,K29&gt;='分位数阈值'!$G$8,2,TRUE,1)))</f>
        <v/>
      </c>
      <c r="AG29" s="23">
        <f>IF(L29="","",IF('分位数阈值'!$D$9="","",IFS(L29&gt;='分位数阈值'!$D$9,5,L29&gt;='分位数阈值'!$E$9,4,L29&gt;='分位数阈值'!$F$9,3,L29&gt;='分位数阈值'!$G$9,2,TRUE,1)))</f>
        <v/>
      </c>
      <c r="AH29" s="23">
        <f>IF(M29="","",IF('分位数阈值'!$D$10="","",IFS(M29&lt;='分位数阈值'!$G$10,5,M29&lt;='分位数阈值'!$F$10,4,M29&lt;='分位数阈值'!$E$10,3,M29&lt;='分位数阈值'!$D$10,2,TRUE,1)))</f>
        <v/>
      </c>
      <c r="AI29" s="23">
        <f>IF(N29="","",IF('分位数阈值'!$D$11="","",IFS(N29&lt;='分位数阈值'!$G$11,5,N29&lt;='分位数阈值'!$F$11,4,N29&lt;='分位数阈值'!$E$11,3,N29&lt;='分位数阈值'!$D$11,2,TRUE,1)))</f>
        <v/>
      </c>
      <c r="AJ29" s="23">
        <f>IF(P29="","",IF(P29=1,1,5))</f>
        <v/>
      </c>
      <c r="AK29" s="23">
        <f>IF(Q29="","",IF(Q29=1,1,5))</f>
        <v/>
      </c>
      <c r="AL29" s="23">
        <f>IF(O29="","",IF('分位数阈值'!$D$12="","",IFS(O29&gt;='分位数阈值'!$D$12,5,O29&gt;='分位数阈值'!$E$12,4,O29&gt;='分位数阈值'!$F$12,3,O29&gt;='分位数阈值'!$G$12,2,TRUE,1)))</f>
        <v/>
      </c>
      <c r="AM29" s="23">
        <f>IF(R29="","",IF('分位数阈值'!$D$13="","",IFS(R29&lt;='分位数阈值'!$G$13,5,R29&lt;='分位数阈值'!$F$13,4,R29&lt;='分位数阈值'!$E$13,3,R29&lt;='分位数阈值'!$D$13,2,TRUE,1)))</f>
        <v/>
      </c>
      <c r="AN29" s="23">
        <f>IF(S29="","",IF('分位数阈值'!$D$14="","",IFS(S29&lt;='分位数阈值'!$G$14,5,S29&lt;='分位数阈值'!$F$14,4,S29&lt;='分位数阈值'!$E$14,3,S29&lt;='分位数阈值'!$D$14,2,TRUE,1)))</f>
        <v/>
      </c>
      <c r="AO29" s="23">
        <f>IF(T29="","",IF('分位数阈值'!$D$15="","",IFS(T29&lt;='分位数阈值'!$G$15,5,T29&lt;='分位数阈值'!$F$15,4,T29&lt;='分位数阈值'!$E$15,3,T29&lt;='分位数阈值'!$D$15,2,TRUE,1)))</f>
        <v/>
      </c>
      <c r="AP29" s="23">
        <f>IF(U29="","",IF(U29=1,5,1))</f>
        <v/>
      </c>
      <c r="AQ29" s="23">
        <f>IF(V29="","",V29)</f>
        <v/>
      </c>
      <c r="AR29" s="23">
        <f>IF(W29="","",IF('分位数阈值'!$D$16="","",IFS(W29&lt;='分位数阈值'!$G$16,5,W29&lt;='分位数阈值'!$F$16,4,W29&lt;='分位数阈值'!$E$16,3,W29&lt;='分位数阈值'!$D$16,2,TRUE,1)))</f>
        <v/>
      </c>
      <c r="AS29" s="23">
        <f>IF(X29="","",X29)</f>
        <v/>
      </c>
      <c r="AT29" s="23">
        <f>IF(Y29="","",Y29)</f>
        <v/>
      </c>
      <c r="AU29" s="10">
        <f>IF($A29="","",IF(OR(Z29=1,AR29=1,AJ29=1),"淘汰","通过"))</f>
        <v/>
      </c>
      <c r="AV29" s="10">
        <f>IF($A29="","",IF(OR(AA29=1,AR29=1,AND(AK29=1,AI29=1),AO29=1),"淘汰","通过"))</f>
        <v/>
      </c>
      <c r="AW29" s="24">
        <f>IF($A29="","",IF(AU29="淘汰","",ROUND(SUMPRODUCT(Z29:AT29,Z$2:AT$2)/5,1)))</f>
        <v/>
      </c>
      <c r="AX29" s="24">
        <f>IF($A29="","",IF(AV29="淘汰","",ROUND(SUMPRODUCT(Z29:AT29,Z$3:AT$3)/5,1)))</f>
        <v/>
      </c>
    </row>
    <row r="30" ht="15.75" customHeight="1" s="25">
      <c r="A30" s="22" t="n"/>
      <c r="B30" s="20" t="n"/>
      <c r="C30" s="22" t="n"/>
      <c r="D30" s="22" t="n"/>
      <c r="E30" s="22" t="n"/>
      <c r="F30" s="22" t="n"/>
      <c r="G30" s="21" t="n"/>
      <c r="H30" s="21" t="n"/>
      <c r="I30" s="21" t="n"/>
      <c r="J30" s="21" t="n"/>
      <c r="K30" s="21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3">
        <f>IF(E30="","",IF('分位数阈值'!$D$2="","",IFS(E30&gt;='分位数阈值'!$D$2,5,E30&gt;='分位数阈值'!$E$2,4,E30&gt;='分位数阈值'!$F$2,3,E30&gt;='分位数阈值'!$G$2,2,TRUE,1)))</f>
        <v/>
      </c>
      <c r="AA30" s="23">
        <f>IF(F30="","",IF('分位数阈值'!$D$3="","",IFS(F30&gt;='分位数阈值'!$D$3,5,F30&gt;='分位数阈值'!$E$3,4,F30&gt;='分位数阈值'!$F$3,3,F30&gt;='分位数阈值'!$G$3,2,TRUE,1)))</f>
        <v/>
      </c>
      <c r="AB30" s="23">
        <f>IF(G30="","",IF('分位数阈值'!$D$4="","",IFS(G30&gt;='分位数阈值'!$D$4,5,G30&gt;='分位数阈值'!$E$4,4,G30&gt;='分位数阈值'!$F$4,3,G30&gt;='分位数阈值'!$G$4,2,TRUE,1)))</f>
        <v/>
      </c>
      <c r="AC30" s="23">
        <f>IF(H30="","",IF('分位数阈值'!$D$5="","",IFS(H30&gt;='分位数阈值'!$D$5,5,H30&gt;='分位数阈值'!$E$5,4,H30&gt;='分位数阈值'!$F$5,3,H30&gt;='分位数阈值'!$G$5,2,TRUE,1)))</f>
        <v/>
      </c>
      <c r="AD30" s="23">
        <f>IF(I30="","",IF('分位数阈值'!$D$6="","",IFS(I30&gt;='分位数阈值'!$D$6,5,I30&gt;='分位数阈值'!$E$6,4,I30&gt;='分位数阈值'!$F$6,3,I30&gt;='分位数阈值'!$G$6,2,TRUE,1)))</f>
        <v/>
      </c>
      <c r="AE30" s="23">
        <f>IF(J30="","",IF('分位数阈值'!$D$7="","",IFS(J30&gt;='分位数阈值'!$D$7,5,J30&gt;='分位数阈值'!$E$7,4,J30&gt;='分位数阈值'!$F$7,3,J30&gt;='分位数阈值'!$G$7,2,TRUE,1)))</f>
        <v/>
      </c>
      <c r="AF30" s="23">
        <f>IF(K30="","",IF('分位数阈值'!$D$8="","",IFS(K30&gt;='分位数阈值'!$D$8,5,K30&gt;='分位数阈值'!$E$8,4,K30&gt;='分位数阈值'!$F$8,3,K30&gt;='分位数阈值'!$G$8,2,TRUE,1)))</f>
        <v/>
      </c>
      <c r="AG30" s="23">
        <f>IF(L30="","",IF('分位数阈值'!$D$9="","",IFS(L30&gt;='分位数阈值'!$D$9,5,L30&gt;='分位数阈值'!$E$9,4,L30&gt;='分位数阈值'!$F$9,3,L30&gt;='分位数阈值'!$G$9,2,TRUE,1)))</f>
        <v/>
      </c>
      <c r="AH30" s="23">
        <f>IF(M30="","",IF('分位数阈值'!$D$10="","",IFS(M30&lt;='分位数阈值'!$G$10,5,M30&lt;='分位数阈值'!$F$10,4,M30&lt;='分位数阈值'!$E$10,3,M30&lt;='分位数阈值'!$D$10,2,TRUE,1)))</f>
        <v/>
      </c>
      <c r="AI30" s="23">
        <f>IF(N30="","",IF('分位数阈值'!$D$11="","",IFS(N30&lt;='分位数阈值'!$G$11,5,N30&lt;='分位数阈值'!$F$11,4,N30&lt;='分位数阈值'!$E$11,3,N30&lt;='分位数阈值'!$D$11,2,TRUE,1)))</f>
        <v/>
      </c>
      <c r="AJ30" s="23">
        <f>IF(P30="","",IF(P30=1,1,5))</f>
        <v/>
      </c>
      <c r="AK30" s="23">
        <f>IF(Q30="","",IF(Q30=1,1,5))</f>
        <v/>
      </c>
      <c r="AL30" s="23">
        <f>IF(O30="","",IF('分位数阈值'!$D$12="","",IFS(O30&gt;='分位数阈值'!$D$12,5,O30&gt;='分位数阈值'!$E$12,4,O30&gt;='分位数阈值'!$F$12,3,O30&gt;='分位数阈值'!$G$12,2,TRUE,1)))</f>
        <v/>
      </c>
      <c r="AM30" s="23">
        <f>IF(R30="","",IF('分位数阈值'!$D$13="","",IFS(R30&lt;='分位数阈值'!$G$13,5,R30&lt;='分位数阈值'!$F$13,4,R30&lt;='分位数阈值'!$E$13,3,R30&lt;='分位数阈值'!$D$13,2,TRUE,1)))</f>
        <v/>
      </c>
      <c r="AN30" s="23">
        <f>IF(S30="","",IF('分位数阈值'!$D$14="","",IFS(S30&lt;='分位数阈值'!$G$14,5,S30&lt;='分位数阈值'!$F$14,4,S30&lt;='分位数阈值'!$E$14,3,S30&lt;='分位数阈值'!$D$14,2,TRUE,1)))</f>
        <v/>
      </c>
      <c r="AO30" s="23">
        <f>IF(T30="","",IF('分位数阈值'!$D$15="","",IFS(T30&lt;='分位数阈值'!$G$15,5,T30&lt;='分位数阈值'!$F$15,4,T30&lt;='分位数阈值'!$E$15,3,T30&lt;='分位数阈值'!$D$15,2,TRUE,1)))</f>
        <v/>
      </c>
      <c r="AP30" s="23">
        <f>IF(U30="","",IF(U30=1,5,1))</f>
        <v/>
      </c>
      <c r="AQ30" s="23">
        <f>IF(V30="","",V30)</f>
        <v/>
      </c>
      <c r="AR30" s="23">
        <f>IF(W30="","",IF('分位数阈值'!$D$16="","",IFS(W30&lt;='分位数阈值'!$G$16,5,W30&lt;='分位数阈值'!$F$16,4,W30&lt;='分位数阈值'!$E$16,3,W30&lt;='分位数阈值'!$D$16,2,TRUE,1)))</f>
        <v/>
      </c>
      <c r="AS30" s="23">
        <f>IF(X30="","",X30)</f>
        <v/>
      </c>
      <c r="AT30" s="23">
        <f>IF(Y30="","",Y30)</f>
        <v/>
      </c>
      <c r="AU30" s="10">
        <f>IF($A30="","",IF(OR(Z30=1,AR30=1,AJ30=1),"淘汰","通过"))</f>
        <v/>
      </c>
      <c r="AV30" s="10">
        <f>IF($A30="","",IF(OR(AA30=1,AR30=1,AND(AK30=1,AI30=1),AO30=1),"淘汰","通过"))</f>
        <v/>
      </c>
      <c r="AW30" s="24">
        <f>IF($A30="","",IF(AU30="淘汰","",ROUND(SUMPRODUCT(Z30:AT30,Z$2:AT$2)/5,1)))</f>
        <v/>
      </c>
      <c r="AX30" s="24">
        <f>IF($A30="","",IF(AV30="淘汰","",ROUND(SUMPRODUCT(Z30:AT30,Z$3:AT$3)/5,1)))</f>
        <v/>
      </c>
    </row>
    <row r="31" ht="15.75" customHeight="1" s="25">
      <c r="A31" s="22" t="n"/>
      <c r="B31" s="20" t="n"/>
      <c r="C31" s="22" t="n"/>
      <c r="D31" s="22" t="n"/>
      <c r="E31" s="22" t="n"/>
      <c r="F31" s="22" t="n"/>
      <c r="G31" s="21" t="n"/>
      <c r="H31" s="21" t="n"/>
      <c r="I31" s="21" t="n"/>
      <c r="J31" s="21" t="n"/>
      <c r="K31" s="21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3">
        <f>IF(E31="","",IF('分位数阈值'!$D$2="","",IFS(E31&gt;='分位数阈值'!$D$2,5,E31&gt;='分位数阈值'!$E$2,4,E31&gt;='分位数阈值'!$F$2,3,E31&gt;='分位数阈值'!$G$2,2,TRUE,1)))</f>
        <v/>
      </c>
      <c r="AA31" s="23">
        <f>IF(F31="","",IF('分位数阈值'!$D$3="","",IFS(F31&gt;='分位数阈值'!$D$3,5,F31&gt;='分位数阈值'!$E$3,4,F31&gt;='分位数阈值'!$F$3,3,F31&gt;='分位数阈值'!$G$3,2,TRUE,1)))</f>
        <v/>
      </c>
      <c r="AB31" s="23">
        <f>IF(G31="","",IF('分位数阈值'!$D$4="","",IFS(G31&gt;='分位数阈值'!$D$4,5,G31&gt;='分位数阈值'!$E$4,4,G31&gt;='分位数阈值'!$F$4,3,G31&gt;='分位数阈值'!$G$4,2,TRUE,1)))</f>
        <v/>
      </c>
      <c r="AC31" s="23">
        <f>IF(H31="","",IF('分位数阈值'!$D$5="","",IFS(H31&gt;='分位数阈值'!$D$5,5,H31&gt;='分位数阈值'!$E$5,4,H31&gt;='分位数阈值'!$F$5,3,H31&gt;='分位数阈值'!$G$5,2,TRUE,1)))</f>
        <v/>
      </c>
      <c r="AD31" s="23">
        <f>IF(I31="","",IF('分位数阈值'!$D$6="","",IFS(I31&gt;='分位数阈值'!$D$6,5,I31&gt;='分位数阈值'!$E$6,4,I31&gt;='分位数阈值'!$F$6,3,I31&gt;='分位数阈值'!$G$6,2,TRUE,1)))</f>
        <v/>
      </c>
      <c r="AE31" s="23">
        <f>IF(J31="","",IF('分位数阈值'!$D$7="","",IFS(J31&gt;='分位数阈值'!$D$7,5,J31&gt;='分位数阈值'!$E$7,4,J31&gt;='分位数阈值'!$F$7,3,J31&gt;='分位数阈值'!$G$7,2,TRUE,1)))</f>
        <v/>
      </c>
      <c r="AF31" s="23">
        <f>IF(K31="","",IF('分位数阈值'!$D$8="","",IFS(K31&gt;='分位数阈值'!$D$8,5,K31&gt;='分位数阈值'!$E$8,4,K31&gt;='分位数阈值'!$F$8,3,K31&gt;='分位数阈值'!$G$8,2,TRUE,1)))</f>
        <v/>
      </c>
      <c r="AG31" s="23">
        <f>IF(L31="","",IF('分位数阈值'!$D$9="","",IFS(L31&gt;='分位数阈值'!$D$9,5,L31&gt;='分位数阈值'!$E$9,4,L31&gt;='分位数阈值'!$F$9,3,L31&gt;='分位数阈值'!$G$9,2,TRUE,1)))</f>
        <v/>
      </c>
      <c r="AH31" s="23">
        <f>IF(M31="","",IF('分位数阈值'!$D$10="","",IFS(M31&lt;='分位数阈值'!$G$10,5,M31&lt;='分位数阈值'!$F$10,4,M31&lt;='分位数阈值'!$E$10,3,M31&lt;='分位数阈值'!$D$10,2,TRUE,1)))</f>
        <v/>
      </c>
      <c r="AI31" s="23">
        <f>IF(N31="","",IF('分位数阈值'!$D$11="","",IFS(N31&lt;='分位数阈值'!$G$11,5,N31&lt;='分位数阈值'!$F$11,4,N31&lt;='分位数阈值'!$E$11,3,N31&lt;='分位数阈值'!$D$11,2,TRUE,1)))</f>
        <v/>
      </c>
      <c r="AJ31" s="23">
        <f>IF(P31="","",IF(P31=1,1,5))</f>
        <v/>
      </c>
      <c r="AK31" s="23">
        <f>IF(Q31="","",IF(Q31=1,1,5))</f>
        <v/>
      </c>
      <c r="AL31" s="23">
        <f>IF(O31="","",IF('分位数阈值'!$D$12="","",IFS(O31&gt;='分位数阈值'!$D$12,5,O31&gt;='分位数阈值'!$E$12,4,O31&gt;='分位数阈值'!$F$12,3,O31&gt;='分位数阈值'!$G$12,2,TRUE,1)))</f>
        <v/>
      </c>
      <c r="AM31" s="23">
        <f>IF(R31="","",IF('分位数阈值'!$D$13="","",IFS(R31&lt;='分位数阈值'!$G$13,5,R31&lt;='分位数阈值'!$F$13,4,R31&lt;='分位数阈值'!$E$13,3,R31&lt;='分位数阈值'!$D$13,2,TRUE,1)))</f>
        <v/>
      </c>
      <c r="AN31" s="23">
        <f>IF(S31="","",IF('分位数阈值'!$D$14="","",IFS(S31&lt;='分位数阈值'!$G$14,5,S31&lt;='分位数阈值'!$F$14,4,S31&lt;='分位数阈值'!$E$14,3,S31&lt;='分位数阈值'!$D$14,2,TRUE,1)))</f>
        <v/>
      </c>
      <c r="AO31" s="23">
        <f>IF(T31="","",IF('分位数阈值'!$D$15="","",IFS(T31&lt;='分位数阈值'!$G$15,5,T31&lt;='分位数阈值'!$F$15,4,T31&lt;='分位数阈值'!$E$15,3,T31&lt;='分位数阈值'!$D$15,2,TRUE,1)))</f>
        <v/>
      </c>
      <c r="AP31" s="23">
        <f>IF(U31="","",IF(U31=1,5,1))</f>
        <v/>
      </c>
      <c r="AQ31" s="23">
        <f>IF(V31="","",V31)</f>
        <v/>
      </c>
      <c r="AR31" s="23">
        <f>IF(W31="","",IF('分位数阈值'!$D$16="","",IFS(W31&lt;='分位数阈值'!$G$16,5,W31&lt;='分位数阈值'!$F$16,4,W31&lt;='分位数阈值'!$E$16,3,W31&lt;='分位数阈值'!$D$16,2,TRUE,1)))</f>
        <v/>
      </c>
      <c r="AS31" s="23">
        <f>IF(X31="","",X31)</f>
        <v/>
      </c>
      <c r="AT31" s="23">
        <f>IF(Y31="","",Y31)</f>
        <v/>
      </c>
      <c r="AU31" s="10">
        <f>IF($A31="","",IF(OR(Z31=1,AR31=1,AJ31=1),"淘汰","通过"))</f>
        <v/>
      </c>
      <c r="AV31" s="10">
        <f>IF($A31="","",IF(OR(AA31=1,AR31=1,AND(AK31=1,AI31=1),AO31=1),"淘汰","通过"))</f>
        <v/>
      </c>
      <c r="AW31" s="24">
        <f>IF($A31="","",IF(AU31="淘汰","",ROUND(SUMPRODUCT(Z31:AT31,Z$2:AT$2)/5,1)))</f>
        <v/>
      </c>
      <c r="AX31" s="24">
        <f>IF($A31="","",IF(AV31="淘汰","",ROUND(SUMPRODUCT(Z31:AT31,Z$3:AT$3)/5,1)))</f>
        <v/>
      </c>
    </row>
    <row r="32" ht="15.75" customHeight="1" s="25">
      <c r="A32" s="22" t="n"/>
      <c r="B32" s="20" t="n"/>
      <c r="C32" s="22" t="n"/>
      <c r="D32" s="22" t="n"/>
      <c r="E32" s="22" t="n"/>
      <c r="F32" s="22" t="n"/>
      <c r="G32" s="21" t="n"/>
      <c r="H32" s="21" t="n"/>
      <c r="I32" s="21" t="n"/>
      <c r="J32" s="21" t="n"/>
      <c r="K32" s="21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3">
        <f>IF(E32="","",IF('分位数阈值'!$D$2="","",IFS(E32&gt;='分位数阈值'!$D$2,5,E32&gt;='分位数阈值'!$E$2,4,E32&gt;='分位数阈值'!$F$2,3,E32&gt;='分位数阈值'!$G$2,2,TRUE,1)))</f>
        <v/>
      </c>
      <c r="AA32" s="23">
        <f>IF(F32="","",IF('分位数阈值'!$D$3="","",IFS(F32&gt;='分位数阈值'!$D$3,5,F32&gt;='分位数阈值'!$E$3,4,F32&gt;='分位数阈值'!$F$3,3,F32&gt;='分位数阈值'!$G$3,2,TRUE,1)))</f>
        <v/>
      </c>
      <c r="AB32" s="23">
        <f>IF(G32="","",IF('分位数阈值'!$D$4="","",IFS(G32&gt;='分位数阈值'!$D$4,5,G32&gt;='分位数阈值'!$E$4,4,G32&gt;='分位数阈值'!$F$4,3,G32&gt;='分位数阈值'!$G$4,2,TRUE,1)))</f>
        <v/>
      </c>
      <c r="AC32" s="23">
        <f>IF(H32="","",IF('分位数阈值'!$D$5="","",IFS(H32&gt;='分位数阈值'!$D$5,5,H32&gt;='分位数阈值'!$E$5,4,H32&gt;='分位数阈值'!$F$5,3,H32&gt;='分位数阈值'!$G$5,2,TRUE,1)))</f>
        <v/>
      </c>
      <c r="AD32" s="23">
        <f>IF(I32="","",IF('分位数阈值'!$D$6="","",IFS(I32&gt;='分位数阈值'!$D$6,5,I32&gt;='分位数阈值'!$E$6,4,I32&gt;='分位数阈值'!$F$6,3,I32&gt;='分位数阈值'!$G$6,2,TRUE,1)))</f>
        <v/>
      </c>
      <c r="AE32" s="23">
        <f>IF(J32="","",IF('分位数阈值'!$D$7="","",IFS(J32&gt;='分位数阈值'!$D$7,5,J32&gt;='分位数阈值'!$E$7,4,J32&gt;='分位数阈值'!$F$7,3,J32&gt;='分位数阈值'!$G$7,2,TRUE,1)))</f>
        <v/>
      </c>
      <c r="AF32" s="23">
        <f>IF(K32="","",IF('分位数阈值'!$D$8="","",IFS(K32&gt;='分位数阈值'!$D$8,5,K32&gt;='分位数阈值'!$E$8,4,K32&gt;='分位数阈值'!$F$8,3,K32&gt;='分位数阈值'!$G$8,2,TRUE,1)))</f>
        <v/>
      </c>
      <c r="AG32" s="23">
        <f>IF(L32="","",IF('分位数阈值'!$D$9="","",IFS(L32&gt;='分位数阈值'!$D$9,5,L32&gt;='分位数阈值'!$E$9,4,L32&gt;='分位数阈值'!$F$9,3,L32&gt;='分位数阈值'!$G$9,2,TRUE,1)))</f>
        <v/>
      </c>
      <c r="AH32" s="23">
        <f>IF(M32="","",IF('分位数阈值'!$D$10="","",IFS(M32&lt;='分位数阈值'!$G$10,5,M32&lt;='分位数阈值'!$F$10,4,M32&lt;='分位数阈值'!$E$10,3,M32&lt;='分位数阈值'!$D$10,2,TRUE,1)))</f>
        <v/>
      </c>
      <c r="AI32" s="23">
        <f>IF(N32="","",IF('分位数阈值'!$D$11="","",IFS(N32&lt;='分位数阈值'!$G$11,5,N32&lt;='分位数阈值'!$F$11,4,N32&lt;='分位数阈值'!$E$11,3,N32&lt;='分位数阈值'!$D$11,2,TRUE,1)))</f>
        <v/>
      </c>
      <c r="AJ32" s="23">
        <f>IF(P32="","",IF(P32=1,1,5))</f>
        <v/>
      </c>
      <c r="AK32" s="23">
        <f>IF(Q32="","",IF(Q32=1,1,5))</f>
        <v/>
      </c>
      <c r="AL32" s="23">
        <f>IF(O32="","",IF('分位数阈值'!$D$12="","",IFS(O32&gt;='分位数阈值'!$D$12,5,O32&gt;='分位数阈值'!$E$12,4,O32&gt;='分位数阈值'!$F$12,3,O32&gt;='分位数阈值'!$G$12,2,TRUE,1)))</f>
        <v/>
      </c>
      <c r="AM32" s="23">
        <f>IF(R32="","",IF('分位数阈值'!$D$13="","",IFS(R32&lt;='分位数阈值'!$G$13,5,R32&lt;='分位数阈值'!$F$13,4,R32&lt;='分位数阈值'!$E$13,3,R32&lt;='分位数阈值'!$D$13,2,TRUE,1)))</f>
        <v/>
      </c>
      <c r="AN32" s="23">
        <f>IF(S32="","",IF('分位数阈值'!$D$14="","",IFS(S32&lt;='分位数阈值'!$G$14,5,S32&lt;='分位数阈值'!$F$14,4,S32&lt;='分位数阈值'!$E$14,3,S32&lt;='分位数阈值'!$D$14,2,TRUE,1)))</f>
        <v/>
      </c>
      <c r="AO32" s="23">
        <f>IF(T32="","",IF('分位数阈值'!$D$15="","",IFS(T32&lt;='分位数阈值'!$G$15,5,T32&lt;='分位数阈值'!$F$15,4,T32&lt;='分位数阈值'!$E$15,3,T32&lt;='分位数阈值'!$D$15,2,TRUE,1)))</f>
        <v/>
      </c>
      <c r="AP32" s="23">
        <f>IF(U32="","",IF(U32=1,5,1))</f>
        <v/>
      </c>
      <c r="AQ32" s="23">
        <f>IF(V32="","",V32)</f>
        <v/>
      </c>
      <c r="AR32" s="23">
        <f>IF(W32="","",IF('分位数阈值'!$D$16="","",IFS(W32&lt;='分位数阈值'!$G$16,5,W32&lt;='分位数阈值'!$F$16,4,W32&lt;='分位数阈值'!$E$16,3,W32&lt;='分位数阈值'!$D$16,2,TRUE,1)))</f>
        <v/>
      </c>
      <c r="AS32" s="23">
        <f>IF(X32="","",X32)</f>
        <v/>
      </c>
      <c r="AT32" s="23">
        <f>IF(Y32="","",Y32)</f>
        <v/>
      </c>
      <c r="AU32" s="10">
        <f>IF($A32="","",IF(OR(Z32=1,AR32=1,AJ32=1),"淘汰","通过"))</f>
        <v/>
      </c>
      <c r="AV32" s="10">
        <f>IF($A32="","",IF(OR(AA32=1,AR32=1,AND(AK32=1,AI32=1),AO32=1),"淘汰","通过"))</f>
        <v/>
      </c>
      <c r="AW32" s="24">
        <f>IF($A32="","",IF(AU32="淘汰","",ROUND(SUMPRODUCT(Z32:AT32,Z$2:AT$2)/5,1)))</f>
        <v/>
      </c>
      <c r="AX32" s="24">
        <f>IF($A32="","",IF(AV32="淘汰","",ROUND(SUMPRODUCT(Z32:AT32,Z$3:AT$3)/5,1)))</f>
        <v/>
      </c>
    </row>
    <row r="33" ht="15.75" customHeight="1" s="25">
      <c r="A33" s="22" t="n"/>
      <c r="B33" s="20" t="n"/>
      <c r="C33" s="22" t="n"/>
      <c r="D33" s="22" t="n"/>
      <c r="E33" s="22" t="n"/>
      <c r="F33" s="22" t="n"/>
      <c r="G33" s="21" t="n"/>
      <c r="H33" s="21" t="n"/>
      <c r="I33" s="21" t="n"/>
      <c r="J33" s="21" t="n"/>
      <c r="K33" s="21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3">
        <f>IF(E33="","",IF('分位数阈值'!$D$2="","",IFS(E33&gt;='分位数阈值'!$D$2,5,E33&gt;='分位数阈值'!$E$2,4,E33&gt;='分位数阈值'!$F$2,3,E33&gt;='分位数阈值'!$G$2,2,TRUE,1)))</f>
        <v/>
      </c>
      <c r="AA33" s="23">
        <f>IF(F33="","",IF('分位数阈值'!$D$3="","",IFS(F33&gt;='分位数阈值'!$D$3,5,F33&gt;='分位数阈值'!$E$3,4,F33&gt;='分位数阈值'!$F$3,3,F33&gt;='分位数阈值'!$G$3,2,TRUE,1)))</f>
        <v/>
      </c>
      <c r="AB33" s="23">
        <f>IF(G33="","",IF('分位数阈值'!$D$4="","",IFS(G33&gt;='分位数阈值'!$D$4,5,G33&gt;='分位数阈值'!$E$4,4,G33&gt;='分位数阈值'!$F$4,3,G33&gt;='分位数阈值'!$G$4,2,TRUE,1)))</f>
        <v/>
      </c>
      <c r="AC33" s="23">
        <f>IF(H33="","",IF('分位数阈值'!$D$5="","",IFS(H33&gt;='分位数阈值'!$D$5,5,H33&gt;='分位数阈值'!$E$5,4,H33&gt;='分位数阈值'!$F$5,3,H33&gt;='分位数阈值'!$G$5,2,TRUE,1)))</f>
        <v/>
      </c>
      <c r="AD33" s="23">
        <f>IF(I33="","",IF('分位数阈值'!$D$6="","",IFS(I33&gt;='分位数阈值'!$D$6,5,I33&gt;='分位数阈值'!$E$6,4,I33&gt;='分位数阈值'!$F$6,3,I33&gt;='分位数阈值'!$G$6,2,TRUE,1)))</f>
        <v/>
      </c>
      <c r="AE33" s="23">
        <f>IF(J33="","",IF('分位数阈值'!$D$7="","",IFS(J33&gt;='分位数阈值'!$D$7,5,J33&gt;='分位数阈值'!$E$7,4,J33&gt;='分位数阈值'!$F$7,3,J33&gt;='分位数阈值'!$G$7,2,TRUE,1)))</f>
        <v/>
      </c>
      <c r="AF33" s="23">
        <f>IF(K33="","",IF('分位数阈值'!$D$8="","",IFS(K33&gt;='分位数阈值'!$D$8,5,K33&gt;='分位数阈值'!$E$8,4,K33&gt;='分位数阈值'!$F$8,3,K33&gt;='分位数阈值'!$G$8,2,TRUE,1)))</f>
        <v/>
      </c>
      <c r="AG33" s="23">
        <f>IF(L33="","",IF('分位数阈值'!$D$9="","",IFS(L33&gt;='分位数阈值'!$D$9,5,L33&gt;='分位数阈值'!$E$9,4,L33&gt;='分位数阈值'!$F$9,3,L33&gt;='分位数阈值'!$G$9,2,TRUE,1)))</f>
        <v/>
      </c>
      <c r="AH33" s="23">
        <f>IF(M33="","",IF('分位数阈值'!$D$10="","",IFS(M33&lt;='分位数阈值'!$G$10,5,M33&lt;='分位数阈值'!$F$10,4,M33&lt;='分位数阈值'!$E$10,3,M33&lt;='分位数阈值'!$D$10,2,TRUE,1)))</f>
        <v/>
      </c>
      <c r="AI33" s="23">
        <f>IF(N33="","",IF('分位数阈值'!$D$11="","",IFS(N33&lt;='分位数阈值'!$G$11,5,N33&lt;='分位数阈值'!$F$11,4,N33&lt;='分位数阈值'!$E$11,3,N33&lt;='分位数阈值'!$D$11,2,TRUE,1)))</f>
        <v/>
      </c>
      <c r="AJ33" s="23">
        <f>IF(P33="","",IF(P33=1,1,5))</f>
        <v/>
      </c>
      <c r="AK33" s="23">
        <f>IF(Q33="","",IF(Q33=1,1,5))</f>
        <v/>
      </c>
      <c r="AL33" s="23">
        <f>IF(O33="","",IF('分位数阈值'!$D$12="","",IFS(O33&gt;='分位数阈值'!$D$12,5,O33&gt;='分位数阈值'!$E$12,4,O33&gt;='分位数阈值'!$F$12,3,O33&gt;='分位数阈值'!$G$12,2,TRUE,1)))</f>
        <v/>
      </c>
      <c r="AM33" s="23">
        <f>IF(R33="","",IF('分位数阈值'!$D$13="","",IFS(R33&lt;='分位数阈值'!$G$13,5,R33&lt;='分位数阈值'!$F$13,4,R33&lt;='分位数阈值'!$E$13,3,R33&lt;='分位数阈值'!$D$13,2,TRUE,1)))</f>
        <v/>
      </c>
      <c r="AN33" s="23">
        <f>IF(S33="","",IF('分位数阈值'!$D$14="","",IFS(S33&lt;='分位数阈值'!$G$14,5,S33&lt;='分位数阈值'!$F$14,4,S33&lt;='分位数阈值'!$E$14,3,S33&lt;='分位数阈值'!$D$14,2,TRUE,1)))</f>
        <v/>
      </c>
      <c r="AO33" s="23">
        <f>IF(T33="","",IF('分位数阈值'!$D$15="","",IFS(T33&lt;='分位数阈值'!$G$15,5,T33&lt;='分位数阈值'!$F$15,4,T33&lt;='分位数阈值'!$E$15,3,T33&lt;='分位数阈值'!$D$15,2,TRUE,1)))</f>
        <v/>
      </c>
      <c r="AP33" s="23">
        <f>IF(U33="","",IF(U33=1,5,1))</f>
        <v/>
      </c>
      <c r="AQ33" s="23">
        <f>IF(V33="","",V33)</f>
        <v/>
      </c>
      <c r="AR33" s="23">
        <f>IF(W33="","",IF('分位数阈值'!$D$16="","",IFS(W33&lt;='分位数阈值'!$G$16,5,W33&lt;='分位数阈值'!$F$16,4,W33&lt;='分位数阈值'!$E$16,3,W33&lt;='分位数阈值'!$D$16,2,TRUE,1)))</f>
        <v/>
      </c>
      <c r="AS33" s="23">
        <f>IF(X33="","",X33)</f>
        <v/>
      </c>
      <c r="AT33" s="23">
        <f>IF(Y33="","",Y33)</f>
        <v/>
      </c>
      <c r="AU33" s="10">
        <f>IF($A33="","",IF(OR(Z33=1,AR33=1,AJ33=1),"淘汰","通过"))</f>
        <v/>
      </c>
      <c r="AV33" s="10">
        <f>IF($A33="","",IF(OR(AA33=1,AR33=1,AND(AK33=1,AI33=1),AO33=1),"淘汰","通过"))</f>
        <v/>
      </c>
      <c r="AW33" s="24">
        <f>IF($A33="","",IF(AU33="淘汰","",ROUND(SUMPRODUCT(Z33:AT33,Z$2:AT$2)/5,1)))</f>
        <v/>
      </c>
      <c r="AX33" s="24">
        <f>IF($A33="","",IF(AV33="淘汰","",ROUND(SUMPRODUCT(Z33:AT33,Z$3:AT$3)/5,1)))</f>
        <v/>
      </c>
    </row>
    <row r="34" ht="15.75" customHeight="1" s="25">
      <c r="A34" s="22" t="n"/>
      <c r="B34" s="20" t="n"/>
      <c r="C34" s="22" t="n"/>
      <c r="D34" s="22" t="n"/>
      <c r="E34" s="22" t="n"/>
      <c r="F34" s="22" t="n"/>
      <c r="G34" s="21" t="n"/>
      <c r="H34" s="21" t="n"/>
      <c r="I34" s="21" t="n"/>
      <c r="J34" s="21" t="n"/>
      <c r="K34" s="21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3">
        <f>IF(E34="","",IF('分位数阈值'!$D$2="","",IFS(E34&gt;='分位数阈值'!$D$2,5,E34&gt;='分位数阈值'!$E$2,4,E34&gt;='分位数阈值'!$F$2,3,E34&gt;='分位数阈值'!$G$2,2,TRUE,1)))</f>
        <v/>
      </c>
      <c r="AA34" s="23">
        <f>IF(F34="","",IF('分位数阈值'!$D$3="","",IFS(F34&gt;='分位数阈值'!$D$3,5,F34&gt;='分位数阈值'!$E$3,4,F34&gt;='分位数阈值'!$F$3,3,F34&gt;='分位数阈值'!$G$3,2,TRUE,1)))</f>
        <v/>
      </c>
      <c r="AB34" s="23">
        <f>IF(G34="","",IF('分位数阈值'!$D$4="","",IFS(G34&gt;='分位数阈值'!$D$4,5,G34&gt;='分位数阈值'!$E$4,4,G34&gt;='分位数阈值'!$F$4,3,G34&gt;='分位数阈值'!$G$4,2,TRUE,1)))</f>
        <v/>
      </c>
      <c r="AC34" s="23">
        <f>IF(H34="","",IF('分位数阈值'!$D$5="","",IFS(H34&gt;='分位数阈值'!$D$5,5,H34&gt;='分位数阈值'!$E$5,4,H34&gt;='分位数阈值'!$F$5,3,H34&gt;='分位数阈值'!$G$5,2,TRUE,1)))</f>
        <v/>
      </c>
      <c r="AD34" s="23">
        <f>IF(I34="","",IF('分位数阈值'!$D$6="","",IFS(I34&gt;='分位数阈值'!$D$6,5,I34&gt;='分位数阈值'!$E$6,4,I34&gt;='分位数阈值'!$F$6,3,I34&gt;='分位数阈值'!$G$6,2,TRUE,1)))</f>
        <v/>
      </c>
      <c r="AE34" s="23">
        <f>IF(J34="","",IF('分位数阈值'!$D$7="","",IFS(J34&gt;='分位数阈值'!$D$7,5,J34&gt;='分位数阈值'!$E$7,4,J34&gt;='分位数阈值'!$F$7,3,J34&gt;='分位数阈值'!$G$7,2,TRUE,1)))</f>
        <v/>
      </c>
      <c r="AF34" s="23">
        <f>IF(K34="","",IF('分位数阈值'!$D$8="","",IFS(K34&gt;='分位数阈值'!$D$8,5,K34&gt;='分位数阈值'!$E$8,4,K34&gt;='分位数阈值'!$F$8,3,K34&gt;='分位数阈值'!$G$8,2,TRUE,1)))</f>
        <v/>
      </c>
      <c r="AG34" s="23">
        <f>IF(L34="","",IF('分位数阈值'!$D$9="","",IFS(L34&gt;='分位数阈值'!$D$9,5,L34&gt;='分位数阈值'!$E$9,4,L34&gt;='分位数阈值'!$F$9,3,L34&gt;='分位数阈值'!$G$9,2,TRUE,1)))</f>
        <v/>
      </c>
      <c r="AH34" s="23">
        <f>IF(M34="","",IF('分位数阈值'!$D$10="","",IFS(M34&lt;='分位数阈值'!$G$10,5,M34&lt;='分位数阈值'!$F$10,4,M34&lt;='分位数阈值'!$E$10,3,M34&lt;='分位数阈值'!$D$10,2,TRUE,1)))</f>
        <v/>
      </c>
      <c r="AI34" s="23">
        <f>IF(N34="","",IF('分位数阈值'!$D$11="","",IFS(N34&lt;='分位数阈值'!$G$11,5,N34&lt;='分位数阈值'!$F$11,4,N34&lt;='分位数阈值'!$E$11,3,N34&lt;='分位数阈值'!$D$11,2,TRUE,1)))</f>
        <v/>
      </c>
      <c r="AJ34" s="23">
        <f>IF(P34="","",IF(P34=1,1,5))</f>
        <v/>
      </c>
      <c r="AK34" s="23">
        <f>IF(Q34="","",IF(Q34=1,1,5))</f>
        <v/>
      </c>
      <c r="AL34" s="23">
        <f>IF(O34="","",IF('分位数阈值'!$D$12="","",IFS(O34&gt;='分位数阈值'!$D$12,5,O34&gt;='分位数阈值'!$E$12,4,O34&gt;='分位数阈值'!$F$12,3,O34&gt;='分位数阈值'!$G$12,2,TRUE,1)))</f>
        <v/>
      </c>
      <c r="AM34" s="23">
        <f>IF(R34="","",IF('分位数阈值'!$D$13="","",IFS(R34&lt;='分位数阈值'!$G$13,5,R34&lt;='分位数阈值'!$F$13,4,R34&lt;='分位数阈值'!$E$13,3,R34&lt;='分位数阈值'!$D$13,2,TRUE,1)))</f>
        <v/>
      </c>
      <c r="AN34" s="23">
        <f>IF(S34="","",IF('分位数阈值'!$D$14="","",IFS(S34&lt;='分位数阈值'!$G$14,5,S34&lt;='分位数阈值'!$F$14,4,S34&lt;='分位数阈值'!$E$14,3,S34&lt;='分位数阈值'!$D$14,2,TRUE,1)))</f>
        <v/>
      </c>
      <c r="AO34" s="23">
        <f>IF(T34="","",IF('分位数阈值'!$D$15="","",IFS(T34&lt;='分位数阈值'!$G$15,5,T34&lt;='分位数阈值'!$F$15,4,T34&lt;='分位数阈值'!$E$15,3,T34&lt;='分位数阈值'!$D$15,2,TRUE,1)))</f>
        <v/>
      </c>
      <c r="AP34" s="23">
        <f>IF(U34="","",IF(U34=1,5,1))</f>
        <v/>
      </c>
      <c r="AQ34" s="23">
        <f>IF(V34="","",V34)</f>
        <v/>
      </c>
      <c r="AR34" s="23">
        <f>IF(W34="","",IF('分位数阈值'!$D$16="","",IFS(W34&lt;='分位数阈值'!$G$16,5,W34&lt;='分位数阈值'!$F$16,4,W34&lt;='分位数阈值'!$E$16,3,W34&lt;='分位数阈值'!$D$16,2,TRUE,1)))</f>
        <v/>
      </c>
      <c r="AS34" s="23">
        <f>IF(X34="","",X34)</f>
        <v/>
      </c>
      <c r="AT34" s="23">
        <f>IF(Y34="","",Y34)</f>
        <v/>
      </c>
      <c r="AU34" s="10">
        <f>IF($A34="","",IF(OR(Z34=1,AR34=1,AJ34=1),"淘汰","通过"))</f>
        <v/>
      </c>
      <c r="AV34" s="10">
        <f>IF($A34="","",IF(OR(AA34=1,AR34=1,AND(AK34=1,AI34=1),AO34=1),"淘汰","通过"))</f>
        <v/>
      </c>
      <c r="AW34" s="24">
        <f>IF($A34="","",IF(AU34="淘汰","",ROUND(SUMPRODUCT(Z34:AT34,Z$2:AT$2)/5,1)))</f>
        <v/>
      </c>
      <c r="AX34" s="24">
        <f>IF($A34="","",IF(AV34="淘汰","",ROUND(SUMPRODUCT(Z34:AT34,Z$3:AT$3)/5,1)))</f>
        <v/>
      </c>
    </row>
    <row r="35" ht="15.75" customHeight="1" s="25">
      <c r="A35" s="22" t="n"/>
      <c r="B35" s="20" t="n"/>
      <c r="C35" s="22" t="n"/>
      <c r="D35" s="22" t="n"/>
      <c r="E35" s="22" t="n"/>
      <c r="F35" s="22" t="n"/>
      <c r="G35" s="21" t="n"/>
      <c r="H35" s="21" t="n"/>
      <c r="I35" s="21" t="n"/>
      <c r="J35" s="21" t="n"/>
      <c r="K35" s="21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3">
        <f>IF(E35="","",IF('分位数阈值'!$D$2="","",IFS(E35&gt;='分位数阈值'!$D$2,5,E35&gt;='分位数阈值'!$E$2,4,E35&gt;='分位数阈值'!$F$2,3,E35&gt;='分位数阈值'!$G$2,2,TRUE,1)))</f>
        <v/>
      </c>
      <c r="AA35" s="23">
        <f>IF(F35="","",IF('分位数阈值'!$D$3="","",IFS(F35&gt;='分位数阈值'!$D$3,5,F35&gt;='分位数阈值'!$E$3,4,F35&gt;='分位数阈值'!$F$3,3,F35&gt;='分位数阈值'!$G$3,2,TRUE,1)))</f>
        <v/>
      </c>
      <c r="AB35" s="23">
        <f>IF(G35="","",IF('分位数阈值'!$D$4="","",IFS(G35&gt;='分位数阈值'!$D$4,5,G35&gt;='分位数阈值'!$E$4,4,G35&gt;='分位数阈值'!$F$4,3,G35&gt;='分位数阈值'!$G$4,2,TRUE,1)))</f>
        <v/>
      </c>
      <c r="AC35" s="23">
        <f>IF(H35="","",IF('分位数阈值'!$D$5="","",IFS(H35&gt;='分位数阈值'!$D$5,5,H35&gt;='分位数阈值'!$E$5,4,H35&gt;='分位数阈值'!$F$5,3,H35&gt;='分位数阈值'!$G$5,2,TRUE,1)))</f>
        <v/>
      </c>
      <c r="AD35" s="23">
        <f>IF(I35="","",IF('分位数阈值'!$D$6="","",IFS(I35&gt;='分位数阈值'!$D$6,5,I35&gt;='分位数阈值'!$E$6,4,I35&gt;='分位数阈值'!$F$6,3,I35&gt;='分位数阈值'!$G$6,2,TRUE,1)))</f>
        <v/>
      </c>
      <c r="AE35" s="23">
        <f>IF(J35="","",IF('分位数阈值'!$D$7="","",IFS(J35&gt;='分位数阈值'!$D$7,5,J35&gt;='分位数阈值'!$E$7,4,J35&gt;='分位数阈值'!$F$7,3,J35&gt;='分位数阈值'!$G$7,2,TRUE,1)))</f>
        <v/>
      </c>
      <c r="AF35" s="23">
        <f>IF(K35="","",IF('分位数阈值'!$D$8="","",IFS(K35&gt;='分位数阈值'!$D$8,5,K35&gt;='分位数阈值'!$E$8,4,K35&gt;='分位数阈值'!$F$8,3,K35&gt;='分位数阈值'!$G$8,2,TRUE,1)))</f>
        <v/>
      </c>
      <c r="AG35" s="23">
        <f>IF(L35="","",IF('分位数阈值'!$D$9="","",IFS(L35&gt;='分位数阈值'!$D$9,5,L35&gt;='分位数阈值'!$E$9,4,L35&gt;='分位数阈值'!$F$9,3,L35&gt;='分位数阈值'!$G$9,2,TRUE,1)))</f>
        <v/>
      </c>
      <c r="AH35" s="23">
        <f>IF(M35="","",IF('分位数阈值'!$D$10="","",IFS(M35&lt;='分位数阈值'!$G$10,5,M35&lt;='分位数阈值'!$F$10,4,M35&lt;='分位数阈值'!$E$10,3,M35&lt;='分位数阈值'!$D$10,2,TRUE,1)))</f>
        <v/>
      </c>
      <c r="AI35" s="23">
        <f>IF(N35="","",IF('分位数阈值'!$D$11="","",IFS(N35&lt;='分位数阈值'!$G$11,5,N35&lt;='分位数阈值'!$F$11,4,N35&lt;='分位数阈值'!$E$11,3,N35&lt;='分位数阈值'!$D$11,2,TRUE,1)))</f>
        <v/>
      </c>
      <c r="AJ35" s="23">
        <f>IF(P35="","",IF(P35=1,1,5))</f>
        <v/>
      </c>
      <c r="AK35" s="23">
        <f>IF(Q35="","",IF(Q35=1,1,5))</f>
        <v/>
      </c>
      <c r="AL35" s="23">
        <f>IF(O35="","",IF('分位数阈值'!$D$12="","",IFS(O35&gt;='分位数阈值'!$D$12,5,O35&gt;='分位数阈值'!$E$12,4,O35&gt;='分位数阈值'!$F$12,3,O35&gt;='分位数阈值'!$G$12,2,TRUE,1)))</f>
        <v/>
      </c>
      <c r="AM35" s="23">
        <f>IF(R35="","",IF('分位数阈值'!$D$13="","",IFS(R35&lt;='分位数阈值'!$G$13,5,R35&lt;='分位数阈值'!$F$13,4,R35&lt;='分位数阈值'!$E$13,3,R35&lt;='分位数阈值'!$D$13,2,TRUE,1)))</f>
        <v/>
      </c>
      <c r="AN35" s="23">
        <f>IF(S35="","",IF('分位数阈值'!$D$14="","",IFS(S35&lt;='分位数阈值'!$G$14,5,S35&lt;='分位数阈值'!$F$14,4,S35&lt;='分位数阈值'!$E$14,3,S35&lt;='分位数阈值'!$D$14,2,TRUE,1)))</f>
        <v/>
      </c>
      <c r="AO35" s="23">
        <f>IF(T35="","",IF('分位数阈值'!$D$15="","",IFS(T35&lt;='分位数阈值'!$G$15,5,T35&lt;='分位数阈值'!$F$15,4,T35&lt;='分位数阈值'!$E$15,3,T35&lt;='分位数阈值'!$D$15,2,TRUE,1)))</f>
        <v/>
      </c>
      <c r="AP35" s="23">
        <f>IF(U35="","",IF(U35=1,5,1))</f>
        <v/>
      </c>
      <c r="AQ35" s="23">
        <f>IF(V35="","",V35)</f>
        <v/>
      </c>
      <c r="AR35" s="23">
        <f>IF(W35="","",IF('分位数阈值'!$D$16="","",IFS(W35&lt;='分位数阈值'!$G$16,5,W35&lt;='分位数阈值'!$F$16,4,W35&lt;='分位数阈值'!$E$16,3,W35&lt;='分位数阈值'!$D$16,2,TRUE,1)))</f>
        <v/>
      </c>
      <c r="AS35" s="23">
        <f>IF(X35="","",X35)</f>
        <v/>
      </c>
      <c r="AT35" s="23">
        <f>IF(Y35="","",Y35)</f>
        <v/>
      </c>
      <c r="AU35" s="10">
        <f>IF($A35="","",IF(OR(Z35=1,AR35=1,AJ35=1),"淘汰","通过"))</f>
        <v/>
      </c>
      <c r="AV35" s="10">
        <f>IF($A35="","",IF(OR(AA35=1,AR35=1,AND(AK35=1,AI35=1),AO35=1),"淘汰","通过"))</f>
        <v/>
      </c>
      <c r="AW35" s="24">
        <f>IF($A35="","",IF(AU35="淘汰","",ROUND(SUMPRODUCT(Z35:AT35,Z$2:AT$2)/5,1)))</f>
        <v/>
      </c>
      <c r="AX35" s="24">
        <f>IF($A35="","",IF(AV35="淘汰","",ROUND(SUMPRODUCT(Z35:AT35,Z$3:AT$3)/5,1)))</f>
        <v/>
      </c>
    </row>
    <row r="36" ht="15.75" customHeight="1" s="25">
      <c r="A36" s="22" t="n"/>
      <c r="B36" s="20" t="n"/>
      <c r="C36" s="22" t="n"/>
      <c r="D36" s="22" t="n"/>
      <c r="E36" s="22" t="n"/>
      <c r="F36" s="22" t="n"/>
      <c r="G36" s="21" t="n"/>
      <c r="H36" s="21" t="n"/>
      <c r="I36" s="21" t="n"/>
      <c r="J36" s="21" t="n"/>
      <c r="K36" s="21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3">
        <f>IF(E36="","",IF('分位数阈值'!$D$2="","",IFS(E36&gt;='分位数阈值'!$D$2,5,E36&gt;='分位数阈值'!$E$2,4,E36&gt;='分位数阈值'!$F$2,3,E36&gt;='分位数阈值'!$G$2,2,TRUE,1)))</f>
        <v/>
      </c>
      <c r="AA36" s="23">
        <f>IF(F36="","",IF('分位数阈值'!$D$3="","",IFS(F36&gt;='分位数阈值'!$D$3,5,F36&gt;='分位数阈值'!$E$3,4,F36&gt;='分位数阈值'!$F$3,3,F36&gt;='分位数阈值'!$G$3,2,TRUE,1)))</f>
        <v/>
      </c>
      <c r="AB36" s="23">
        <f>IF(G36="","",IF('分位数阈值'!$D$4="","",IFS(G36&gt;='分位数阈值'!$D$4,5,G36&gt;='分位数阈值'!$E$4,4,G36&gt;='分位数阈值'!$F$4,3,G36&gt;='分位数阈值'!$G$4,2,TRUE,1)))</f>
        <v/>
      </c>
      <c r="AC36" s="23">
        <f>IF(H36="","",IF('分位数阈值'!$D$5="","",IFS(H36&gt;='分位数阈值'!$D$5,5,H36&gt;='分位数阈值'!$E$5,4,H36&gt;='分位数阈值'!$F$5,3,H36&gt;='分位数阈值'!$G$5,2,TRUE,1)))</f>
        <v/>
      </c>
      <c r="AD36" s="23">
        <f>IF(I36="","",IF('分位数阈值'!$D$6="","",IFS(I36&gt;='分位数阈值'!$D$6,5,I36&gt;='分位数阈值'!$E$6,4,I36&gt;='分位数阈值'!$F$6,3,I36&gt;='分位数阈值'!$G$6,2,TRUE,1)))</f>
        <v/>
      </c>
      <c r="AE36" s="23">
        <f>IF(J36="","",IF('分位数阈值'!$D$7="","",IFS(J36&gt;='分位数阈值'!$D$7,5,J36&gt;='分位数阈值'!$E$7,4,J36&gt;='分位数阈值'!$F$7,3,J36&gt;='分位数阈值'!$G$7,2,TRUE,1)))</f>
        <v/>
      </c>
      <c r="AF36" s="23">
        <f>IF(K36="","",IF('分位数阈值'!$D$8="","",IFS(K36&gt;='分位数阈值'!$D$8,5,K36&gt;='分位数阈值'!$E$8,4,K36&gt;='分位数阈值'!$F$8,3,K36&gt;='分位数阈值'!$G$8,2,TRUE,1)))</f>
        <v/>
      </c>
      <c r="AG36" s="23">
        <f>IF(L36="","",IF('分位数阈值'!$D$9="","",IFS(L36&gt;='分位数阈值'!$D$9,5,L36&gt;='分位数阈值'!$E$9,4,L36&gt;='分位数阈值'!$F$9,3,L36&gt;='分位数阈值'!$G$9,2,TRUE,1)))</f>
        <v/>
      </c>
      <c r="AH36" s="23">
        <f>IF(M36="","",IF('分位数阈值'!$D$10="","",IFS(M36&lt;='分位数阈值'!$G$10,5,M36&lt;='分位数阈值'!$F$10,4,M36&lt;='分位数阈值'!$E$10,3,M36&lt;='分位数阈值'!$D$10,2,TRUE,1)))</f>
        <v/>
      </c>
      <c r="AI36" s="23">
        <f>IF(N36="","",IF('分位数阈值'!$D$11="","",IFS(N36&lt;='分位数阈值'!$G$11,5,N36&lt;='分位数阈值'!$F$11,4,N36&lt;='分位数阈值'!$E$11,3,N36&lt;='分位数阈值'!$D$11,2,TRUE,1)))</f>
        <v/>
      </c>
      <c r="AJ36" s="23">
        <f>IF(P36="","",IF(P36=1,1,5))</f>
        <v/>
      </c>
      <c r="AK36" s="23">
        <f>IF(Q36="","",IF(Q36=1,1,5))</f>
        <v/>
      </c>
      <c r="AL36" s="23">
        <f>IF(O36="","",IF('分位数阈值'!$D$12="","",IFS(O36&gt;='分位数阈值'!$D$12,5,O36&gt;='分位数阈值'!$E$12,4,O36&gt;='分位数阈值'!$F$12,3,O36&gt;='分位数阈值'!$G$12,2,TRUE,1)))</f>
        <v/>
      </c>
      <c r="AM36" s="23">
        <f>IF(R36="","",IF('分位数阈值'!$D$13="","",IFS(R36&lt;='分位数阈值'!$G$13,5,R36&lt;='分位数阈值'!$F$13,4,R36&lt;='分位数阈值'!$E$13,3,R36&lt;='分位数阈值'!$D$13,2,TRUE,1)))</f>
        <v/>
      </c>
      <c r="AN36" s="23">
        <f>IF(S36="","",IF('分位数阈值'!$D$14="","",IFS(S36&lt;='分位数阈值'!$G$14,5,S36&lt;='分位数阈值'!$F$14,4,S36&lt;='分位数阈值'!$E$14,3,S36&lt;='分位数阈值'!$D$14,2,TRUE,1)))</f>
        <v/>
      </c>
      <c r="AO36" s="23">
        <f>IF(T36="","",IF('分位数阈值'!$D$15="","",IFS(T36&lt;='分位数阈值'!$G$15,5,T36&lt;='分位数阈值'!$F$15,4,T36&lt;='分位数阈值'!$E$15,3,T36&lt;='分位数阈值'!$D$15,2,TRUE,1)))</f>
        <v/>
      </c>
      <c r="AP36" s="23">
        <f>IF(U36="","",IF(U36=1,5,1))</f>
        <v/>
      </c>
      <c r="AQ36" s="23">
        <f>IF(V36="","",V36)</f>
        <v/>
      </c>
      <c r="AR36" s="23">
        <f>IF(W36="","",IF('分位数阈值'!$D$16="","",IFS(W36&lt;='分位数阈值'!$G$16,5,W36&lt;='分位数阈值'!$F$16,4,W36&lt;='分位数阈值'!$E$16,3,W36&lt;='分位数阈值'!$D$16,2,TRUE,1)))</f>
        <v/>
      </c>
      <c r="AS36" s="23">
        <f>IF(X36="","",X36)</f>
        <v/>
      </c>
      <c r="AT36" s="23">
        <f>IF(Y36="","",Y36)</f>
        <v/>
      </c>
      <c r="AU36" s="10">
        <f>IF($A36="","",IF(OR(Z36=1,AR36=1,AJ36=1),"淘汰","通过"))</f>
        <v/>
      </c>
      <c r="AV36" s="10">
        <f>IF($A36="","",IF(OR(AA36=1,AR36=1,AND(AK36=1,AI36=1),AO36=1),"淘汰","通过"))</f>
        <v/>
      </c>
      <c r="AW36" s="24">
        <f>IF($A36="","",IF(AU36="淘汰","",ROUND(SUMPRODUCT(Z36:AT36,Z$2:AT$2)/5,1)))</f>
        <v/>
      </c>
      <c r="AX36" s="24">
        <f>IF($A36="","",IF(AV36="淘汰","",ROUND(SUMPRODUCT(Z36:AT36,Z$3:AT$3)/5,1)))</f>
        <v/>
      </c>
    </row>
    <row r="37" ht="15.75" customHeight="1" s="25">
      <c r="A37" s="22" t="n"/>
      <c r="B37" s="20" t="n"/>
      <c r="C37" s="22" t="n"/>
      <c r="D37" s="22" t="n"/>
      <c r="E37" s="22" t="n"/>
      <c r="F37" s="22" t="n"/>
      <c r="G37" s="21" t="n"/>
      <c r="H37" s="21" t="n"/>
      <c r="I37" s="21" t="n"/>
      <c r="J37" s="21" t="n"/>
      <c r="K37" s="21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3">
        <f>IF(E37="","",IF('分位数阈值'!$D$2="","",IFS(E37&gt;='分位数阈值'!$D$2,5,E37&gt;='分位数阈值'!$E$2,4,E37&gt;='分位数阈值'!$F$2,3,E37&gt;='分位数阈值'!$G$2,2,TRUE,1)))</f>
        <v/>
      </c>
      <c r="AA37" s="23">
        <f>IF(F37="","",IF('分位数阈值'!$D$3="","",IFS(F37&gt;='分位数阈值'!$D$3,5,F37&gt;='分位数阈值'!$E$3,4,F37&gt;='分位数阈值'!$F$3,3,F37&gt;='分位数阈值'!$G$3,2,TRUE,1)))</f>
        <v/>
      </c>
      <c r="AB37" s="23">
        <f>IF(G37="","",IF('分位数阈值'!$D$4="","",IFS(G37&gt;='分位数阈值'!$D$4,5,G37&gt;='分位数阈值'!$E$4,4,G37&gt;='分位数阈值'!$F$4,3,G37&gt;='分位数阈值'!$G$4,2,TRUE,1)))</f>
        <v/>
      </c>
      <c r="AC37" s="23">
        <f>IF(H37="","",IF('分位数阈值'!$D$5="","",IFS(H37&gt;='分位数阈值'!$D$5,5,H37&gt;='分位数阈值'!$E$5,4,H37&gt;='分位数阈值'!$F$5,3,H37&gt;='分位数阈值'!$G$5,2,TRUE,1)))</f>
        <v/>
      </c>
      <c r="AD37" s="23">
        <f>IF(I37="","",IF('分位数阈值'!$D$6="","",IFS(I37&gt;='分位数阈值'!$D$6,5,I37&gt;='分位数阈值'!$E$6,4,I37&gt;='分位数阈值'!$F$6,3,I37&gt;='分位数阈值'!$G$6,2,TRUE,1)))</f>
        <v/>
      </c>
      <c r="AE37" s="23">
        <f>IF(J37="","",IF('分位数阈值'!$D$7="","",IFS(J37&gt;='分位数阈值'!$D$7,5,J37&gt;='分位数阈值'!$E$7,4,J37&gt;='分位数阈值'!$F$7,3,J37&gt;='分位数阈值'!$G$7,2,TRUE,1)))</f>
        <v/>
      </c>
      <c r="AF37" s="23">
        <f>IF(K37="","",IF('分位数阈值'!$D$8="","",IFS(K37&gt;='分位数阈值'!$D$8,5,K37&gt;='分位数阈值'!$E$8,4,K37&gt;='分位数阈值'!$F$8,3,K37&gt;='分位数阈值'!$G$8,2,TRUE,1)))</f>
        <v/>
      </c>
      <c r="AG37" s="23">
        <f>IF(L37="","",IF('分位数阈值'!$D$9="","",IFS(L37&gt;='分位数阈值'!$D$9,5,L37&gt;='分位数阈值'!$E$9,4,L37&gt;='分位数阈值'!$F$9,3,L37&gt;='分位数阈值'!$G$9,2,TRUE,1)))</f>
        <v/>
      </c>
      <c r="AH37" s="23">
        <f>IF(M37="","",IF('分位数阈值'!$D$10="","",IFS(M37&lt;='分位数阈值'!$G$10,5,M37&lt;='分位数阈值'!$F$10,4,M37&lt;='分位数阈值'!$E$10,3,M37&lt;='分位数阈值'!$D$10,2,TRUE,1)))</f>
        <v/>
      </c>
      <c r="AI37" s="23">
        <f>IF(N37="","",IF('分位数阈值'!$D$11="","",IFS(N37&lt;='分位数阈值'!$G$11,5,N37&lt;='分位数阈值'!$F$11,4,N37&lt;='分位数阈值'!$E$11,3,N37&lt;='分位数阈值'!$D$11,2,TRUE,1)))</f>
        <v/>
      </c>
      <c r="AJ37" s="23">
        <f>IF(P37="","",IF(P37=1,1,5))</f>
        <v/>
      </c>
      <c r="AK37" s="23">
        <f>IF(Q37="","",IF(Q37=1,1,5))</f>
        <v/>
      </c>
      <c r="AL37" s="23">
        <f>IF(O37="","",IF('分位数阈值'!$D$12="","",IFS(O37&gt;='分位数阈值'!$D$12,5,O37&gt;='分位数阈值'!$E$12,4,O37&gt;='分位数阈值'!$F$12,3,O37&gt;='分位数阈值'!$G$12,2,TRUE,1)))</f>
        <v/>
      </c>
      <c r="AM37" s="23">
        <f>IF(R37="","",IF('分位数阈值'!$D$13="","",IFS(R37&lt;='分位数阈值'!$G$13,5,R37&lt;='分位数阈值'!$F$13,4,R37&lt;='分位数阈值'!$E$13,3,R37&lt;='分位数阈值'!$D$13,2,TRUE,1)))</f>
        <v/>
      </c>
      <c r="AN37" s="23">
        <f>IF(S37="","",IF('分位数阈值'!$D$14="","",IFS(S37&lt;='分位数阈值'!$G$14,5,S37&lt;='分位数阈值'!$F$14,4,S37&lt;='分位数阈值'!$E$14,3,S37&lt;='分位数阈值'!$D$14,2,TRUE,1)))</f>
        <v/>
      </c>
      <c r="AO37" s="23">
        <f>IF(T37="","",IF('分位数阈值'!$D$15="","",IFS(T37&lt;='分位数阈值'!$G$15,5,T37&lt;='分位数阈值'!$F$15,4,T37&lt;='分位数阈值'!$E$15,3,T37&lt;='分位数阈值'!$D$15,2,TRUE,1)))</f>
        <v/>
      </c>
      <c r="AP37" s="23">
        <f>IF(U37="","",IF(U37=1,5,1))</f>
        <v/>
      </c>
      <c r="AQ37" s="23">
        <f>IF(V37="","",V37)</f>
        <v/>
      </c>
      <c r="AR37" s="23">
        <f>IF(W37="","",IF('分位数阈值'!$D$16="","",IFS(W37&lt;='分位数阈值'!$G$16,5,W37&lt;='分位数阈值'!$F$16,4,W37&lt;='分位数阈值'!$E$16,3,W37&lt;='分位数阈值'!$D$16,2,TRUE,1)))</f>
        <v/>
      </c>
      <c r="AS37" s="23">
        <f>IF(X37="","",X37)</f>
        <v/>
      </c>
      <c r="AT37" s="23">
        <f>IF(Y37="","",Y37)</f>
        <v/>
      </c>
      <c r="AU37" s="10">
        <f>IF($A37="","",IF(OR(Z37=1,AR37=1,AJ37=1),"淘汰","通过"))</f>
        <v/>
      </c>
      <c r="AV37" s="10">
        <f>IF($A37="","",IF(OR(AA37=1,AR37=1,AND(AK37=1,AI37=1),AO37=1),"淘汰","通过"))</f>
        <v/>
      </c>
      <c r="AW37" s="24">
        <f>IF($A37="","",IF(AU37="淘汰","",ROUND(SUMPRODUCT(Z37:AT37,Z$2:AT$2)/5,1)))</f>
        <v/>
      </c>
      <c r="AX37" s="24">
        <f>IF($A37="","",IF(AV37="淘汰","",ROUND(SUMPRODUCT(Z37:AT37,Z$3:AT$3)/5,1)))</f>
        <v/>
      </c>
    </row>
    <row r="38" ht="15.75" customHeight="1" s="25">
      <c r="A38" s="22" t="n"/>
      <c r="B38" s="20" t="n"/>
      <c r="C38" s="22" t="n"/>
      <c r="D38" s="22" t="n"/>
      <c r="E38" s="22" t="n"/>
      <c r="F38" s="22" t="n"/>
      <c r="G38" s="21" t="n"/>
      <c r="H38" s="21" t="n"/>
      <c r="I38" s="21" t="n"/>
      <c r="J38" s="21" t="n"/>
      <c r="K38" s="21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3">
        <f>IF(E38="","",IF('分位数阈值'!$D$2="","",IFS(E38&gt;='分位数阈值'!$D$2,5,E38&gt;='分位数阈值'!$E$2,4,E38&gt;='分位数阈值'!$F$2,3,E38&gt;='分位数阈值'!$G$2,2,TRUE,1)))</f>
        <v/>
      </c>
      <c r="AA38" s="23">
        <f>IF(F38="","",IF('分位数阈值'!$D$3="","",IFS(F38&gt;='分位数阈值'!$D$3,5,F38&gt;='分位数阈值'!$E$3,4,F38&gt;='分位数阈值'!$F$3,3,F38&gt;='分位数阈值'!$G$3,2,TRUE,1)))</f>
        <v/>
      </c>
      <c r="AB38" s="23">
        <f>IF(G38="","",IF('分位数阈值'!$D$4="","",IFS(G38&gt;='分位数阈值'!$D$4,5,G38&gt;='分位数阈值'!$E$4,4,G38&gt;='分位数阈值'!$F$4,3,G38&gt;='分位数阈值'!$G$4,2,TRUE,1)))</f>
        <v/>
      </c>
      <c r="AC38" s="23">
        <f>IF(H38="","",IF('分位数阈值'!$D$5="","",IFS(H38&gt;='分位数阈值'!$D$5,5,H38&gt;='分位数阈值'!$E$5,4,H38&gt;='分位数阈值'!$F$5,3,H38&gt;='分位数阈值'!$G$5,2,TRUE,1)))</f>
        <v/>
      </c>
      <c r="AD38" s="23">
        <f>IF(I38="","",IF('分位数阈值'!$D$6="","",IFS(I38&gt;='分位数阈值'!$D$6,5,I38&gt;='分位数阈值'!$E$6,4,I38&gt;='分位数阈值'!$F$6,3,I38&gt;='分位数阈值'!$G$6,2,TRUE,1)))</f>
        <v/>
      </c>
      <c r="AE38" s="23">
        <f>IF(J38="","",IF('分位数阈值'!$D$7="","",IFS(J38&gt;='分位数阈值'!$D$7,5,J38&gt;='分位数阈值'!$E$7,4,J38&gt;='分位数阈值'!$F$7,3,J38&gt;='分位数阈值'!$G$7,2,TRUE,1)))</f>
        <v/>
      </c>
      <c r="AF38" s="23">
        <f>IF(K38="","",IF('分位数阈值'!$D$8="","",IFS(K38&gt;='分位数阈值'!$D$8,5,K38&gt;='分位数阈值'!$E$8,4,K38&gt;='分位数阈值'!$F$8,3,K38&gt;='分位数阈值'!$G$8,2,TRUE,1)))</f>
        <v/>
      </c>
      <c r="AG38" s="23">
        <f>IF(L38="","",IF('分位数阈值'!$D$9="","",IFS(L38&gt;='分位数阈值'!$D$9,5,L38&gt;='分位数阈值'!$E$9,4,L38&gt;='分位数阈值'!$F$9,3,L38&gt;='分位数阈值'!$G$9,2,TRUE,1)))</f>
        <v/>
      </c>
      <c r="AH38" s="23">
        <f>IF(M38="","",IF('分位数阈值'!$D$10="","",IFS(M38&lt;='分位数阈值'!$G$10,5,M38&lt;='分位数阈值'!$F$10,4,M38&lt;='分位数阈值'!$E$10,3,M38&lt;='分位数阈值'!$D$10,2,TRUE,1)))</f>
        <v/>
      </c>
      <c r="AI38" s="23">
        <f>IF(N38="","",IF('分位数阈值'!$D$11="","",IFS(N38&lt;='分位数阈值'!$G$11,5,N38&lt;='分位数阈值'!$F$11,4,N38&lt;='分位数阈值'!$E$11,3,N38&lt;='分位数阈值'!$D$11,2,TRUE,1)))</f>
        <v/>
      </c>
      <c r="AJ38" s="23">
        <f>IF(P38="","",IF(P38=1,1,5))</f>
        <v/>
      </c>
      <c r="AK38" s="23">
        <f>IF(Q38="","",IF(Q38=1,1,5))</f>
        <v/>
      </c>
      <c r="AL38" s="23">
        <f>IF(O38="","",IF('分位数阈值'!$D$12="","",IFS(O38&gt;='分位数阈值'!$D$12,5,O38&gt;='分位数阈值'!$E$12,4,O38&gt;='分位数阈值'!$F$12,3,O38&gt;='分位数阈值'!$G$12,2,TRUE,1)))</f>
        <v/>
      </c>
      <c r="AM38" s="23">
        <f>IF(R38="","",IF('分位数阈值'!$D$13="","",IFS(R38&lt;='分位数阈值'!$G$13,5,R38&lt;='分位数阈值'!$F$13,4,R38&lt;='分位数阈值'!$E$13,3,R38&lt;='分位数阈值'!$D$13,2,TRUE,1)))</f>
        <v/>
      </c>
      <c r="AN38" s="23">
        <f>IF(S38="","",IF('分位数阈值'!$D$14="","",IFS(S38&lt;='分位数阈值'!$G$14,5,S38&lt;='分位数阈值'!$F$14,4,S38&lt;='分位数阈值'!$E$14,3,S38&lt;='分位数阈值'!$D$14,2,TRUE,1)))</f>
        <v/>
      </c>
      <c r="AO38" s="23">
        <f>IF(T38="","",IF('分位数阈值'!$D$15="","",IFS(T38&lt;='分位数阈值'!$G$15,5,T38&lt;='分位数阈值'!$F$15,4,T38&lt;='分位数阈值'!$E$15,3,T38&lt;='分位数阈值'!$D$15,2,TRUE,1)))</f>
        <v/>
      </c>
      <c r="AP38" s="23">
        <f>IF(U38="","",IF(U38=1,5,1))</f>
        <v/>
      </c>
      <c r="AQ38" s="23">
        <f>IF(V38="","",V38)</f>
        <v/>
      </c>
      <c r="AR38" s="23">
        <f>IF(W38="","",IF('分位数阈值'!$D$16="","",IFS(W38&lt;='分位数阈值'!$G$16,5,W38&lt;='分位数阈值'!$F$16,4,W38&lt;='分位数阈值'!$E$16,3,W38&lt;='分位数阈值'!$D$16,2,TRUE,1)))</f>
        <v/>
      </c>
      <c r="AS38" s="23">
        <f>IF(X38="","",X38)</f>
        <v/>
      </c>
      <c r="AT38" s="23">
        <f>IF(Y38="","",Y38)</f>
        <v/>
      </c>
      <c r="AU38" s="10">
        <f>IF($A38="","",IF(OR(Z38=1,AR38=1,AJ38=1),"淘汰","通过"))</f>
        <v/>
      </c>
      <c r="AV38" s="10">
        <f>IF($A38="","",IF(OR(AA38=1,AR38=1,AND(AK38=1,AI38=1),AO38=1),"淘汰","通过"))</f>
        <v/>
      </c>
      <c r="AW38" s="24">
        <f>IF($A38="","",IF(AU38="淘汰","",ROUND(SUMPRODUCT(Z38:AT38,Z$2:AT$2)/5,1)))</f>
        <v/>
      </c>
      <c r="AX38" s="24">
        <f>IF($A38="","",IF(AV38="淘汰","",ROUND(SUMPRODUCT(Z38:AT38,Z$3:AT$3)/5,1)))</f>
        <v/>
      </c>
    </row>
    <row r="39" ht="15.75" customHeight="1" s="25">
      <c r="A39" s="22" t="n"/>
      <c r="B39" s="20" t="n"/>
      <c r="C39" s="22" t="n"/>
      <c r="D39" s="22" t="n"/>
      <c r="E39" s="22" t="n"/>
      <c r="F39" s="22" t="n"/>
      <c r="G39" s="21" t="n"/>
      <c r="H39" s="21" t="n"/>
      <c r="I39" s="21" t="n"/>
      <c r="J39" s="21" t="n"/>
      <c r="K39" s="21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3">
        <f>IF(E39="","",IF('分位数阈值'!$D$2="","",IFS(E39&gt;='分位数阈值'!$D$2,5,E39&gt;='分位数阈值'!$E$2,4,E39&gt;='分位数阈值'!$F$2,3,E39&gt;='分位数阈值'!$G$2,2,TRUE,1)))</f>
        <v/>
      </c>
      <c r="AA39" s="23">
        <f>IF(F39="","",IF('分位数阈值'!$D$3="","",IFS(F39&gt;='分位数阈值'!$D$3,5,F39&gt;='分位数阈值'!$E$3,4,F39&gt;='分位数阈值'!$F$3,3,F39&gt;='分位数阈值'!$G$3,2,TRUE,1)))</f>
        <v/>
      </c>
      <c r="AB39" s="23">
        <f>IF(G39="","",IF('分位数阈值'!$D$4="","",IFS(G39&gt;='分位数阈值'!$D$4,5,G39&gt;='分位数阈值'!$E$4,4,G39&gt;='分位数阈值'!$F$4,3,G39&gt;='分位数阈值'!$G$4,2,TRUE,1)))</f>
        <v/>
      </c>
      <c r="AC39" s="23">
        <f>IF(H39="","",IF('分位数阈值'!$D$5="","",IFS(H39&gt;='分位数阈值'!$D$5,5,H39&gt;='分位数阈值'!$E$5,4,H39&gt;='分位数阈值'!$F$5,3,H39&gt;='分位数阈值'!$G$5,2,TRUE,1)))</f>
        <v/>
      </c>
      <c r="AD39" s="23">
        <f>IF(I39="","",IF('分位数阈值'!$D$6="","",IFS(I39&gt;='分位数阈值'!$D$6,5,I39&gt;='分位数阈值'!$E$6,4,I39&gt;='分位数阈值'!$F$6,3,I39&gt;='分位数阈值'!$G$6,2,TRUE,1)))</f>
        <v/>
      </c>
      <c r="AE39" s="23">
        <f>IF(J39="","",IF('分位数阈值'!$D$7="","",IFS(J39&gt;='分位数阈值'!$D$7,5,J39&gt;='分位数阈值'!$E$7,4,J39&gt;='分位数阈值'!$F$7,3,J39&gt;='分位数阈值'!$G$7,2,TRUE,1)))</f>
        <v/>
      </c>
      <c r="AF39" s="23">
        <f>IF(K39="","",IF('分位数阈值'!$D$8="","",IFS(K39&gt;='分位数阈值'!$D$8,5,K39&gt;='分位数阈值'!$E$8,4,K39&gt;='分位数阈值'!$F$8,3,K39&gt;='分位数阈值'!$G$8,2,TRUE,1)))</f>
        <v/>
      </c>
      <c r="AG39" s="23">
        <f>IF(L39="","",IF('分位数阈值'!$D$9="","",IFS(L39&gt;='分位数阈值'!$D$9,5,L39&gt;='分位数阈值'!$E$9,4,L39&gt;='分位数阈值'!$F$9,3,L39&gt;='分位数阈值'!$G$9,2,TRUE,1)))</f>
        <v/>
      </c>
      <c r="AH39" s="23">
        <f>IF(M39="","",IF('分位数阈值'!$D$10="","",IFS(M39&lt;='分位数阈值'!$G$10,5,M39&lt;='分位数阈值'!$F$10,4,M39&lt;='分位数阈值'!$E$10,3,M39&lt;='分位数阈值'!$D$10,2,TRUE,1)))</f>
        <v/>
      </c>
      <c r="AI39" s="23">
        <f>IF(N39="","",IF('分位数阈值'!$D$11="","",IFS(N39&lt;='分位数阈值'!$G$11,5,N39&lt;='分位数阈值'!$F$11,4,N39&lt;='分位数阈值'!$E$11,3,N39&lt;='分位数阈值'!$D$11,2,TRUE,1)))</f>
        <v/>
      </c>
      <c r="AJ39" s="23">
        <f>IF(P39="","",IF(P39=1,1,5))</f>
        <v/>
      </c>
      <c r="AK39" s="23">
        <f>IF(Q39="","",IF(Q39=1,1,5))</f>
        <v/>
      </c>
      <c r="AL39" s="23">
        <f>IF(O39="","",IF('分位数阈值'!$D$12="","",IFS(O39&gt;='分位数阈值'!$D$12,5,O39&gt;='分位数阈值'!$E$12,4,O39&gt;='分位数阈值'!$F$12,3,O39&gt;='分位数阈值'!$G$12,2,TRUE,1)))</f>
        <v/>
      </c>
      <c r="AM39" s="23">
        <f>IF(R39="","",IF('分位数阈值'!$D$13="","",IFS(R39&lt;='分位数阈值'!$G$13,5,R39&lt;='分位数阈值'!$F$13,4,R39&lt;='分位数阈值'!$E$13,3,R39&lt;='分位数阈值'!$D$13,2,TRUE,1)))</f>
        <v/>
      </c>
      <c r="AN39" s="23">
        <f>IF(S39="","",IF('分位数阈值'!$D$14="","",IFS(S39&lt;='分位数阈值'!$G$14,5,S39&lt;='分位数阈值'!$F$14,4,S39&lt;='分位数阈值'!$E$14,3,S39&lt;='分位数阈值'!$D$14,2,TRUE,1)))</f>
        <v/>
      </c>
      <c r="AO39" s="23">
        <f>IF(T39="","",IF('分位数阈值'!$D$15="","",IFS(T39&lt;='分位数阈值'!$G$15,5,T39&lt;='分位数阈值'!$F$15,4,T39&lt;='分位数阈值'!$E$15,3,T39&lt;='分位数阈值'!$D$15,2,TRUE,1)))</f>
        <v/>
      </c>
      <c r="AP39" s="23">
        <f>IF(U39="","",IF(U39=1,5,1))</f>
        <v/>
      </c>
      <c r="AQ39" s="23">
        <f>IF(V39="","",V39)</f>
        <v/>
      </c>
      <c r="AR39" s="23">
        <f>IF(W39="","",IF('分位数阈值'!$D$16="","",IFS(W39&lt;='分位数阈值'!$G$16,5,W39&lt;='分位数阈值'!$F$16,4,W39&lt;='分位数阈值'!$E$16,3,W39&lt;='分位数阈值'!$D$16,2,TRUE,1)))</f>
        <v/>
      </c>
      <c r="AS39" s="23">
        <f>IF(X39="","",X39)</f>
        <v/>
      </c>
      <c r="AT39" s="23">
        <f>IF(Y39="","",Y39)</f>
        <v/>
      </c>
      <c r="AU39" s="10">
        <f>IF($A39="","",IF(OR(Z39=1,AR39=1,AJ39=1),"淘汰","通过"))</f>
        <v/>
      </c>
      <c r="AV39" s="10">
        <f>IF($A39="","",IF(OR(AA39=1,AR39=1,AND(AK39=1,AI39=1),AO39=1),"淘汰","通过"))</f>
        <v/>
      </c>
      <c r="AW39" s="24">
        <f>IF($A39="","",IF(AU39="淘汰","",ROUND(SUMPRODUCT(Z39:AT39,Z$2:AT$2)/5,1)))</f>
        <v/>
      </c>
      <c r="AX39" s="24">
        <f>IF($A39="","",IF(AV39="淘汰","",ROUND(SUMPRODUCT(Z39:AT39,Z$3:AT$3)/5,1)))</f>
        <v/>
      </c>
    </row>
    <row r="40" ht="15.75" customHeight="1" s="25">
      <c r="A40" s="22" t="n"/>
      <c r="B40" s="20" t="n"/>
      <c r="C40" s="22" t="n"/>
      <c r="D40" s="22" t="n"/>
      <c r="E40" s="22" t="n"/>
      <c r="F40" s="22" t="n"/>
      <c r="G40" s="21" t="n"/>
      <c r="H40" s="21" t="n"/>
      <c r="I40" s="21" t="n"/>
      <c r="J40" s="21" t="n"/>
      <c r="K40" s="21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3">
        <f>IF(E40="","",IF('分位数阈值'!$D$2="","",IFS(E40&gt;='分位数阈值'!$D$2,5,E40&gt;='分位数阈值'!$E$2,4,E40&gt;='分位数阈值'!$F$2,3,E40&gt;='分位数阈值'!$G$2,2,TRUE,1)))</f>
        <v/>
      </c>
      <c r="AA40" s="23">
        <f>IF(F40="","",IF('分位数阈值'!$D$3="","",IFS(F40&gt;='分位数阈值'!$D$3,5,F40&gt;='分位数阈值'!$E$3,4,F40&gt;='分位数阈值'!$F$3,3,F40&gt;='分位数阈值'!$G$3,2,TRUE,1)))</f>
        <v/>
      </c>
      <c r="AB40" s="23">
        <f>IF(G40="","",IF('分位数阈值'!$D$4="","",IFS(G40&gt;='分位数阈值'!$D$4,5,G40&gt;='分位数阈值'!$E$4,4,G40&gt;='分位数阈值'!$F$4,3,G40&gt;='分位数阈值'!$G$4,2,TRUE,1)))</f>
        <v/>
      </c>
      <c r="AC40" s="23">
        <f>IF(H40="","",IF('分位数阈值'!$D$5="","",IFS(H40&gt;='分位数阈值'!$D$5,5,H40&gt;='分位数阈值'!$E$5,4,H40&gt;='分位数阈值'!$F$5,3,H40&gt;='分位数阈值'!$G$5,2,TRUE,1)))</f>
        <v/>
      </c>
      <c r="AD40" s="23">
        <f>IF(I40="","",IF('分位数阈值'!$D$6="","",IFS(I40&gt;='分位数阈值'!$D$6,5,I40&gt;='分位数阈值'!$E$6,4,I40&gt;='分位数阈值'!$F$6,3,I40&gt;='分位数阈值'!$G$6,2,TRUE,1)))</f>
        <v/>
      </c>
      <c r="AE40" s="23">
        <f>IF(J40="","",IF('分位数阈值'!$D$7="","",IFS(J40&gt;='分位数阈值'!$D$7,5,J40&gt;='分位数阈值'!$E$7,4,J40&gt;='分位数阈值'!$F$7,3,J40&gt;='分位数阈值'!$G$7,2,TRUE,1)))</f>
        <v/>
      </c>
      <c r="AF40" s="23">
        <f>IF(K40="","",IF('分位数阈值'!$D$8="","",IFS(K40&gt;='分位数阈值'!$D$8,5,K40&gt;='分位数阈值'!$E$8,4,K40&gt;='分位数阈值'!$F$8,3,K40&gt;='分位数阈值'!$G$8,2,TRUE,1)))</f>
        <v/>
      </c>
      <c r="AG40" s="23">
        <f>IF(L40="","",IF('分位数阈值'!$D$9="","",IFS(L40&gt;='分位数阈值'!$D$9,5,L40&gt;='分位数阈值'!$E$9,4,L40&gt;='分位数阈值'!$F$9,3,L40&gt;='分位数阈值'!$G$9,2,TRUE,1)))</f>
        <v/>
      </c>
      <c r="AH40" s="23">
        <f>IF(M40="","",IF('分位数阈值'!$D$10="","",IFS(M40&lt;='分位数阈值'!$G$10,5,M40&lt;='分位数阈值'!$F$10,4,M40&lt;='分位数阈值'!$E$10,3,M40&lt;='分位数阈值'!$D$10,2,TRUE,1)))</f>
        <v/>
      </c>
      <c r="AI40" s="23">
        <f>IF(N40="","",IF('分位数阈值'!$D$11="","",IFS(N40&lt;='分位数阈值'!$G$11,5,N40&lt;='分位数阈值'!$F$11,4,N40&lt;='分位数阈值'!$E$11,3,N40&lt;='分位数阈值'!$D$11,2,TRUE,1)))</f>
        <v/>
      </c>
      <c r="AJ40" s="23">
        <f>IF(P40="","",IF(P40=1,1,5))</f>
        <v/>
      </c>
      <c r="AK40" s="23">
        <f>IF(Q40="","",IF(Q40=1,1,5))</f>
        <v/>
      </c>
      <c r="AL40" s="23">
        <f>IF(O40="","",IF('分位数阈值'!$D$12="","",IFS(O40&gt;='分位数阈值'!$D$12,5,O40&gt;='分位数阈值'!$E$12,4,O40&gt;='分位数阈值'!$F$12,3,O40&gt;='分位数阈值'!$G$12,2,TRUE,1)))</f>
        <v/>
      </c>
      <c r="AM40" s="23">
        <f>IF(R40="","",IF('分位数阈值'!$D$13="","",IFS(R40&lt;='分位数阈值'!$G$13,5,R40&lt;='分位数阈值'!$F$13,4,R40&lt;='分位数阈值'!$E$13,3,R40&lt;='分位数阈值'!$D$13,2,TRUE,1)))</f>
        <v/>
      </c>
      <c r="AN40" s="23">
        <f>IF(S40="","",IF('分位数阈值'!$D$14="","",IFS(S40&lt;='分位数阈值'!$G$14,5,S40&lt;='分位数阈值'!$F$14,4,S40&lt;='分位数阈值'!$E$14,3,S40&lt;='分位数阈值'!$D$14,2,TRUE,1)))</f>
        <v/>
      </c>
      <c r="AO40" s="23">
        <f>IF(T40="","",IF('分位数阈值'!$D$15="","",IFS(T40&lt;='分位数阈值'!$G$15,5,T40&lt;='分位数阈值'!$F$15,4,T40&lt;='分位数阈值'!$E$15,3,T40&lt;='分位数阈值'!$D$15,2,TRUE,1)))</f>
        <v/>
      </c>
      <c r="AP40" s="23">
        <f>IF(U40="","",IF(U40=1,5,1))</f>
        <v/>
      </c>
      <c r="AQ40" s="23">
        <f>IF(V40="","",V40)</f>
        <v/>
      </c>
      <c r="AR40" s="23">
        <f>IF(W40="","",IF('分位数阈值'!$D$16="","",IFS(W40&lt;='分位数阈值'!$G$16,5,W40&lt;='分位数阈值'!$F$16,4,W40&lt;='分位数阈值'!$E$16,3,W40&lt;='分位数阈值'!$D$16,2,TRUE,1)))</f>
        <v/>
      </c>
      <c r="AS40" s="23">
        <f>IF(X40="","",X40)</f>
        <v/>
      </c>
      <c r="AT40" s="23">
        <f>IF(Y40="","",Y40)</f>
        <v/>
      </c>
      <c r="AU40" s="10">
        <f>IF($A40="","",IF(OR(Z40=1,AR40=1,AJ40=1),"淘汰","通过"))</f>
        <v/>
      </c>
      <c r="AV40" s="10">
        <f>IF($A40="","",IF(OR(AA40=1,AR40=1,AND(AK40=1,AI40=1),AO40=1),"淘汰","通过"))</f>
        <v/>
      </c>
      <c r="AW40" s="24">
        <f>IF($A40="","",IF(AU40="淘汰","",ROUND(SUMPRODUCT(Z40:AT40,Z$2:AT$2)/5,1)))</f>
        <v/>
      </c>
      <c r="AX40" s="24">
        <f>IF($A40="","",IF(AV40="淘汰","",ROUND(SUMPRODUCT(Z40:AT40,Z$3:AT$3)/5,1)))</f>
        <v/>
      </c>
    </row>
    <row r="41" ht="15.75" customHeight="1" s="25">
      <c r="A41" s="22" t="n"/>
      <c r="B41" s="20" t="n"/>
      <c r="C41" s="22" t="n"/>
      <c r="D41" s="22" t="n"/>
      <c r="E41" s="22" t="n"/>
      <c r="F41" s="22" t="n"/>
      <c r="G41" s="21" t="n"/>
      <c r="H41" s="21" t="n"/>
      <c r="I41" s="21" t="n"/>
      <c r="J41" s="21" t="n"/>
      <c r="K41" s="21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3">
        <f>IF(E41="","",IF('分位数阈值'!$D$2="","",IFS(E41&gt;='分位数阈值'!$D$2,5,E41&gt;='分位数阈值'!$E$2,4,E41&gt;='分位数阈值'!$F$2,3,E41&gt;='分位数阈值'!$G$2,2,TRUE,1)))</f>
        <v/>
      </c>
      <c r="AA41" s="23">
        <f>IF(F41="","",IF('分位数阈值'!$D$3="","",IFS(F41&gt;='分位数阈值'!$D$3,5,F41&gt;='分位数阈值'!$E$3,4,F41&gt;='分位数阈值'!$F$3,3,F41&gt;='分位数阈值'!$G$3,2,TRUE,1)))</f>
        <v/>
      </c>
      <c r="AB41" s="23">
        <f>IF(G41="","",IF('分位数阈值'!$D$4="","",IFS(G41&gt;='分位数阈值'!$D$4,5,G41&gt;='分位数阈值'!$E$4,4,G41&gt;='分位数阈值'!$F$4,3,G41&gt;='分位数阈值'!$G$4,2,TRUE,1)))</f>
        <v/>
      </c>
      <c r="AC41" s="23">
        <f>IF(H41="","",IF('分位数阈值'!$D$5="","",IFS(H41&gt;='分位数阈值'!$D$5,5,H41&gt;='分位数阈值'!$E$5,4,H41&gt;='分位数阈值'!$F$5,3,H41&gt;='分位数阈值'!$G$5,2,TRUE,1)))</f>
        <v/>
      </c>
      <c r="AD41" s="23">
        <f>IF(I41="","",IF('分位数阈值'!$D$6="","",IFS(I41&gt;='分位数阈值'!$D$6,5,I41&gt;='分位数阈值'!$E$6,4,I41&gt;='分位数阈值'!$F$6,3,I41&gt;='分位数阈值'!$G$6,2,TRUE,1)))</f>
        <v/>
      </c>
      <c r="AE41" s="23">
        <f>IF(J41="","",IF('分位数阈值'!$D$7="","",IFS(J41&gt;='分位数阈值'!$D$7,5,J41&gt;='分位数阈值'!$E$7,4,J41&gt;='分位数阈值'!$F$7,3,J41&gt;='分位数阈值'!$G$7,2,TRUE,1)))</f>
        <v/>
      </c>
      <c r="AF41" s="23">
        <f>IF(K41="","",IF('分位数阈值'!$D$8="","",IFS(K41&gt;='分位数阈值'!$D$8,5,K41&gt;='分位数阈值'!$E$8,4,K41&gt;='分位数阈值'!$F$8,3,K41&gt;='分位数阈值'!$G$8,2,TRUE,1)))</f>
        <v/>
      </c>
      <c r="AG41" s="23">
        <f>IF(L41="","",IF('分位数阈值'!$D$9="","",IFS(L41&gt;='分位数阈值'!$D$9,5,L41&gt;='分位数阈值'!$E$9,4,L41&gt;='分位数阈值'!$F$9,3,L41&gt;='分位数阈值'!$G$9,2,TRUE,1)))</f>
        <v/>
      </c>
      <c r="AH41" s="23">
        <f>IF(M41="","",IF('分位数阈值'!$D$10="","",IFS(M41&lt;='分位数阈值'!$G$10,5,M41&lt;='分位数阈值'!$F$10,4,M41&lt;='分位数阈值'!$E$10,3,M41&lt;='分位数阈值'!$D$10,2,TRUE,1)))</f>
        <v/>
      </c>
      <c r="AI41" s="23">
        <f>IF(N41="","",IF('分位数阈值'!$D$11="","",IFS(N41&lt;='分位数阈值'!$G$11,5,N41&lt;='分位数阈值'!$F$11,4,N41&lt;='分位数阈值'!$E$11,3,N41&lt;='分位数阈值'!$D$11,2,TRUE,1)))</f>
        <v/>
      </c>
      <c r="AJ41" s="23">
        <f>IF(P41="","",IF(P41=1,1,5))</f>
        <v/>
      </c>
      <c r="AK41" s="23">
        <f>IF(Q41="","",IF(Q41=1,1,5))</f>
        <v/>
      </c>
      <c r="AL41" s="23">
        <f>IF(O41="","",IF('分位数阈值'!$D$12="","",IFS(O41&gt;='分位数阈值'!$D$12,5,O41&gt;='分位数阈值'!$E$12,4,O41&gt;='分位数阈值'!$F$12,3,O41&gt;='分位数阈值'!$G$12,2,TRUE,1)))</f>
        <v/>
      </c>
      <c r="AM41" s="23">
        <f>IF(R41="","",IF('分位数阈值'!$D$13="","",IFS(R41&lt;='分位数阈值'!$G$13,5,R41&lt;='分位数阈值'!$F$13,4,R41&lt;='分位数阈值'!$E$13,3,R41&lt;='分位数阈值'!$D$13,2,TRUE,1)))</f>
        <v/>
      </c>
      <c r="AN41" s="23">
        <f>IF(S41="","",IF('分位数阈值'!$D$14="","",IFS(S41&lt;='分位数阈值'!$G$14,5,S41&lt;='分位数阈值'!$F$14,4,S41&lt;='分位数阈值'!$E$14,3,S41&lt;='分位数阈值'!$D$14,2,TRUE,1)))</f>
        <v/>
      </c>
      <c r="AO41" s="23">
        <f>IF(T41="","",IF('分位数阈值'!$D$15="","",IFS(T41&lt;='分位数阈值'!$G$15,5,T41&lt;='分位数阈值'!$F$15,4,T41&lt;='分位数阈值'!$E$15,3,T41&lt;='分位数阈值'!$D$15,2,TRUE,1)))</f>
        <v/>
      </c>
      <c r="AP41" s="23">
        <f>IF(U41="","",IF(U41=1,5,1))</f>
        <v/>
      </c>
      <c r="AQ41" s="23">
        <f>IF(V41="","",V41)</f>
        <v/>
      </c>
      <c r="AR41" s="23">
        <f>IF(W41="","",IF('分位数阈值'!$D$16="","",IFS(W41&lt;='分位数阈值'!$G$16,5,W41&lt;='分位数阈值'!$F$16,4,W41&lt;='分位数阈值'!$E$16,3,W41&lt;='分位数阈值'!$D$16,2,TRUE,1)))</f>
        <v/>
      </c>
      <c r="AS41" s="23">
        <f>IF(X41="","",X41)</f>
        <v/>
      </c>
      <c r="AT41" s="23">
        <f>IF(Y41="","",Y41)</f>
        <v/>
      </c>
      <c r="AU41" s="10">
        <f>IF($A41="","",IF(OR(Z41=1,AR41=1,AJ41=1),"淘汰","通过"))</f>
        <v/>
      </c>
      <c r="AV41" s="10">
        <f>IF($A41="","",IF(OR(AA41=1,AR41=1,AND(AK41=1,AI41=1),AO41=1),"淘汰","通过"))</f>
        <v/>
      </c>
      <c r="AW41" s="24">
        <f>IF($A41="","",IF(AU41="淘汰","",ROUND(SUMPRODUCT(Z41:AT41,Z$2:AT$2)/5,1)))</f>
        <v/>
      </c>
      <c r="AX41" s="24">
        <f>IF($A41="","",IF(AV41="淘汰","",ROUND(SUMPRODUCT(Z41:AT41,Z$3:AT$3)/5,1)))</f>
        <v/>
      </c>
    </row>
    <row r="42" ht="15.75" customHeight="1" s="25">
      <c r="A42" s="22" t="n"/>
      <c r="B42" s="20" t="n"/>
      <c r="C42" s="22" t="n"/>
      <c r="D42" s="22" t="n"/>
      <c r="E42" s="22" t="n"/>
      <c r="F42" s="22" t="n"/>
      <c r="G42" s="21" t="n"/>
      <c r="H42" s="21" t="n"/>
      <c r="I42" s="21" t="n"/>
      <c r="J42" s="21" t="n"/>
      <c r="K42" s="21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3">
        <f>IF(E42="","",IF('分位数阈值'!$D$2="","",IFS(E42&gt;='分位数阈值'!$D$2,5,E42&gt;='分位数阈值'!$E$2,4,E42&gt;='分位数阈值'!$F$2,3,E42&gt;='分位数阈值'!$G$2,2,TRUE,1)))</f>
        <v/>
      </c>
      <c r="AA42" s="23">
        <f>IF(F42="","",IF('分位数阈值'!$D$3="","",IFS(F42&gt;='分位数阈值'!$D$3,5,F42&gt;='分位数阈值'!$E$3,4,F42&gt;='分位数阈值'!$F$3,3,F42&gt;='分位数阈值'!$G$3,2,TRUE,1)))</f>
        <v/>
      </c>
      <c r="AB42" s="23">
        <f>IF(G42="","",IF('分位数阈值'!$D$4="","",IFS(G42&gt;='分位数阈值'!$D$4,5,G42&gt;='分位数阈值'!$E$4,4,G42&gt;='分位数阈值'!$F$4,3,G42&gt;='分位数阈值'!$G$4,2,TRUE,1)))</f>
        <v/>
      </c>
      <c r="AC42" s="23">
        <f>IF(H42="","",IF('分位数阈值'!$D$5="","",IFS(H42&gt;='分位数阈值'!$D$5,5,H42&gt;='分位数阈值'!$E$5,4,H42&gt;='分位数阈值'!$F$5,3,H42&gt;='分位数阈值'!$G$5,2,TRUE,1)))</f>
        <v/>
      </c>
      <c r="AD42" s="23">
        <f>IF(I42="","",IF('分位数阈值'!$D$6="","",IFS(I42&gt;='分位数阈值'!$D$6,5,I42&gt;='分位数阈值'!$E$6,4,I42&gt;='分位数阈值'!$F$6,3,I42&gt;='分位数阈值'!$G$6,2,TRUE,1)))</f>
        <v/>
      </c>
      <c r="AE42" s="23">
        <f>IF(J42="","",IF('分位数阈值'!$D$7="","",IFS(J42&gt;='分位数阈值'!$D$7,5,J42&gt;='分位数阈值'!$E$7,4,J42&gt;='分位数阈值'!$F$7,3,J42&gt;='分位数阈值'!$G$7,2,TRUE,1)))</f>
        <v/>
      </c>
      <c r="AF42" s="23">
        <f>IF(K42="","",IF('分位数阈值'!$D$8="","",IFS(K42&gt;='分位数阈值'!$D$8,5,K42&gt;='分位数阈值'!$E$8,4,K42&gt;='分位数阈值'!$F$8,3,K42&gt;='分位数阈值'!$G$8,2,TRUE,1)))</f>
        <v/>
      </c>
      <c r="AG42" s="23">
        <f>IF(L42="","",IF('分位数阈值'!$D$9="","",IFS(L42&gt;='分位数阈值'!$D$9,5,L42&gt;='分位数阈值'!$E$9,4,L42&gt;='分位数阈值'!$F$9,3,L42&gt;='分位数阈值'!$G$9,2,TRUE,1)))</f>
        <v/>
      </c>
      <c r="AH42" s="23">
        <f>IF(M42="","",IF('分位数阈值'!$D$10="","",IFS(M42&lt;='分位数阈值'!$G$10,5,M42&lt;='分位数阈值'!$F$10,4,M42&lt;='分位数阈值'!$E$10,3,M42&lt;='分位数阈值'!$D$10,2,TRUE,1)))</f>
        <v/>
      </c>
      <c r="AI42" s="23">
        <f>IF(N42="","",IF('分位数阈值'!$D$11="","",IFS(N42&lt;='分位数阈值'!$G$11,5,N42&lt;='分位数阈值'!$F$11,4,N42&lt;='分位数阈值'!$E$11,3,N42&lt;='分位数阈值'!$D$11,2,TRUE,1)))</f>
        <v/>
      </c>
      <c r="AJ42" s="23">
        <f>IF(P42="","",IF(P42=1,1,5))</f>
        <v/>
      </c>
      <c r="AK42" s="23">
        <f>IF(Q42="","",IF(Q42=1,1,5))</f>
        <v/>
      </c>
      <c r="AL42" s="23">
        <f>IF(O42="","",IF('分位数阈值'!$D$12="","",IFS(O42&gt;='分位数阈值'!$D$12,5,O42&gt;='分位数阈值'!$E$12,4,O42&gt;='分位数阈值'!$F$12,3,O42&gt;='分位数阈值'!$G$12,2,TRUE,1)))</f>
        <v/>
      </c>
      <c r="AM42" s="23">
        <f>IF(R42="","",IF('分位数阈值'!$D$13="","",IFS(R42&lt;='分位数阈值'!$G$13,5,R42&lt;='分位数阈值'!$F$13,4,R42&lt;='分位数阈值'!$E$13,3,R42&lt;='分位数阈值'!$D$13,2,TRUE,1)))</f>
        <v/>
      </c>
      <c r="AN42" s="23">
        <f>IF(S42="","",IF('分位数阈值'!$D$14="","",IFS(S42&lt;='分位数阈值'!$G$14,5,S42&lt;='分位数阈值'!$F$14,4,S42&lt;='分位数阈值'!$E$14,3,S42&lt;='分位数阈值'!$D$14,2,TRUE,1)))</f>
        <v/>
      </c>
      <c r="AO42" s="23">
        <f>IF(T42="","",IF('分位数阈值'!$D$15="","",IFS(T42&lt;='分位数阈值'!$G$15,5,T42&lt;='分位数阈值'!$F$15,4,T42&lt;='分位数阈值'!$E$15,3,T42&lt;='分位数阈值'!$D$15,2,TRUE,1)))</f>
        <v/>
      </c>
      <c r="AP42" s="23">
        <f>IF(U42="","",IF(U42=1,5,1))</f>
        <v/>
      </c>
      <c r="AQ42" s="23">
        <f>IF(V42="","",V42)</f>
        <v/>
      </c>
      <c r="AR42" s="23">
        <f>IF(W42="","",IF('分位数阈值'!$D$16="","",IFS(W42&lt;='分位数阈值'!$G$16,5,W42&lt;='分位数阈值'!$F$16,4,W42&lt;='分位数阈值'!$E$16,3,W42&lt;='分位数阈值'!$D$16,2,TRUE,1)))</f>
        <v/>
      </c>
      <c r="AS42" s="23">
        <f>IF(X42="","",X42)</f>
        <v/>
      </c>
      <c r="AT42" s="23">
        <f>IF(Y42="","",Y42)</f>
        <v/>
      </c>
      <c r="AU42" s="10">
        <f>IF($A42="","",IF(OR(Z42=1,AR42=1,AJ42=1),"淘汰","通过"))</f>
        <v/>
      </c>
      <c r="AV42" s="10">
        <f>IF($A42="","",IF(OR(AA42=1,AR42=1,AND(AK42=1,AI42=1),AO42=1),"淘汰","通过"))</f>
        <v/>
      </c>
      <c r="AW42" s="24">
        <f>IF($A42="","",IF(AU42="淘汰","",ROUND(SUMPRODUCT(Z42:AT42,Z$2:AT$2)/5,1)))</f>
        <v/>
      </c>
      <c r="AX42" s="24">
        <f>IF($A42="","",IF(AV42="淘汰","",ROUND(SUMPRODUCT(Z42:AT42,Z$3:AT$3)/5,1)))</f>
        <v/>
      </c>
    </row>
    <row r="43" ht="15.75" customHeight="1" s="25">
      <c r="A43" s="22" t="n"/>
      <c r="B43" s="20" t="n"/>
      <c r="C43" s="22" t="n"/>
      <c r="D43" s="22" t="n"/>
      <c r="E43" s="22" t="n"/>
      <c r="F43" s="22" t="n"/>
      <c r="G43" s="21" t="n"/>
      <c r="H43" s="21" t="n"/>
      <c r="I43" s="21" t="n"/>
      <c r="J43" s="21" t="n"/>
      <c r="K43" s="21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3">
        <f>IF(E43="","",IF('分位数阈值'!$D$2="","",IFS(E43&gt;='分位数阈值'!$D$2,5,E43&gt;='分位数阈值'!$E$2,4,E43&gt;='分位数阈值'!$F$2,3,E43&gt;='分位数阈值'!$G$2,2,TRUE,1)))</f>
        <v/>
      </c>
      <c r="AA43" s="23">
        <f>IF(F43="","",IF('分位数阈值'!$D$3="","",IFS(F43&gt;='分位数阈值'!$D$3,5,F43&gt;='分位数阈值'!$E$3,4,F43&gt;='分位数阈值'!$F$3,3,F43&gt;='分位数阈值'!$G$3,2,TRUE,1)))</f>
        <v/>
      </c>
      <c r="AB43" s="23">
        <f>IF(G43="","",IF('分位数阈值'!$D$4="","",IFS(G43&gt;='分位数阈值'!$D$4,5,G43&gt;='分位数阈值'!$E$4,4,G43&gt;='分位数阈值'!$F$4,3,G43&gt;='分位数阈值'!$G$4,2,TRUE,1)))</f>
        <v/>
      </c>
      <c r="AC43" s="23">
        <f>IF(H43="","",IF('分位数阈值'!$D$5="","",IFS(H43&gt;='分位数阈值'!$D$5,5,H43&gt;='分位数阈值'!$E$5,4,H43&gt;='分位数阈值'!$F$5,3,H43&gt;='分位数阈值'!$G$5,2,TRUE,1)))</f>
        <v/>
      </c>
      <c r="AD43" s="23">
        <f>IF(I43="","",IF('分位数阈值'!$D$6="","",IFS(I43&gt;='分位数阈值'!$D$6,5,I43&gt;='分位数阈值'!$E$6,4,I43&gt;='分位数阈值'!$F$6,3,I43&gt;='分位数阈值'!$G$6,2,TRUE,1)))</f>
        <v/>
      </c>
      <c r="AE43" s="23">
        <f>IF(J43="","",IF('分位数阈值'!$D$7="","",IFS(J43&gt;='分位数阈值'!$D$7,5,J43&gt;='分位数阈值'!$E$7,4,J43&gt;='分位数阈值'!$F$7,3,J43&gt;='分位数阈值'!$G$7,2,TRUE,1)))</f>
        <v/>
      </c>
      <c r="AF43" s="23">
        <f>IF(K43="","",IF('分位数阈值'!$D$8="","",IFS(K43&gt;='分位数阈值'!$D$8,5,K43&gt;='分位数阈值'!$E$8,4,K43&gt;='分位数阈值'!$F$8,3,K43&gt;='分位数阈值'!$G$8,2,TRUE,1)))</f>
        <v/>
      </c>
      <c r="AG43" s="23">
        <f>IF(L43="","",IF('分位数阈值'!$D$9="","",IFS(L43&gt;='分位数阈值'!$D$9,5,L43&gt;='分位数阈值'!$E$9,4,L43&gt;='分位数阈值'!$F$9,3,L43&gt;='分位数阈值'!$G$9,2,TRUE,1)))</f>
        <v/>
      </c>
      <c r="AH43" s="23">
        <f>IF(M43="","",IF('分位数阈值'!$D$10="","",IFS(M43&lt;='分位数阈值'!$G$10,5,M43&lt;='分位数阈值'!$F$10,4,M43&lt;='分位数阈值'!$E$10,3,M43&lt;='分位数阈值'!$D$10,2,TRUE,1)))</f>
        <v/>
      </c>
      <c r="AI43" s="23">
        <f>IF(N43="","",IF('分位数阈值'!$D$11="","",IFS(N43&lt;='分位数阈值'!$G$11,5,N43&lt;='分位数阈值'!$F$11,4,N43&lt;='分位数阈值'!$E$11,3,N43&lt;='分位数阈值'!$D$11,2,TRUE,1)))</f>
        <v/>
      </c>
      <c r="AJ43" s="23">
        <f>IF(P43="","",IF(P43=1,1,5))</f>
        <v/>
      </c>
      <c r="AK43" s="23">
        <f>IF(Q43="","",IF(Q43=1,1,5))</f>
        <v/>
      </c>
      <c r="AL43" s="23">
        <f>IF(O43="","",IF('分位数阈值'!$D$12="","",IFS(O43&gt;='分位数阈值'!$D$12,5,O43&gt;='分位数阈值'!$E$12,4,O43&gt;='分位数阈值'!$F$12,3,O43&gt;='分位数阈值'!$G$12,2,TRUE,1)))</f>
        <v/>
      </c>
      <c r="AM43" s="23">
        <f>IF(R43="","",IF('分位数阈值'!$D$13="","",IFS(R43&lt;='分位数阈值'!$G$13,5,R43&lt;='分位数阈值'!$F$13,4,R43&lt;='分位数阈值'!$E$13,3,R43&lt;='分位数阈值'!$D$13,2,TRUE,1)))</f>
        <v/>
      </c>
      <c r="AN43" s="23">
        <f>IF(S43="","",IF('分位数阈值'!$D$14="","",IFS(S43&lt;='分位数阈值'!$G$14,5,S43&lt;='分位数阈值'!$F$14,4,S43&lt;='分位数阈值'!$E$14,3,S43&lt;='分位数阈值'!$D$14,2,TRUE,1)))</f>
        <v/>
      </c>
      <c r="AO43" s="23">
        <f>IF(T43="","",IF('分位数阈值'!$D$15="","",IFS(T43&lt;='分位数阈值'!$G$15,5,T43&lt;='分位数阈值'!$F$15,4,T43&lt;='分位数阈值'!$E$15,3,T43&lt;='分位数阈值'!$D$15,2,TRUE,1)))</f>
        <v/>
      </c>
      <c r="AP43" s="23">
        <f>IF(U43="","",IF(U43=1,5,1))</f>
        <v/>
      </c>
      <c r="AQ43" s="23">
        <f>IF(V43="","",V43)</f>
        <v/>
      </c>
      <c r="AR43" s="23">
        <f>IF(W43="","",IF('分位数阈值'!$D$16="","",IFS(W43&lt;='分位数阈值'!$G$16,5,W43&lt;='分位数阈值'!$F$16,4,W43&lt;='分位数阈值'!$E$16,3,W43&lt;='分位数阈值'!$D$16,2,TRUE,1)))</f>
        <v/>
      </c>
      <c r="AS43" s="23">
        <f>IF(X43="","",X43)</f>
        <v/>
      </c>
      <c r="AT43" s="23">
        <f>IF(Y43="","",Y43)</f>
        <v/>
      </c>
      <c r="AU43" s="10">
        <f>IF($A43="","",IF(OR(Z43=1,AR43=1,AJ43=1),"淘汰","通过"))</f>
        <v/>
      </c>
      <c r="AV43" s="10">
        <f>IF($A43="","",IF(OR(AA43=1,AR43=1,AND(AK43=1,AI43=1),AO43=1),"淘汰","通过"))</f>
        <v/>
      </c>
      <c r="AW43" s="24">
        <f>IF($A43="","",IF(AU43="淘汰","",ROUND(SUMPRODUCT(Z43:AT43,Z$2:AT$2)/5,1)))</f>
        <v/>
      </c>
      <c r="AX43" s="24">
        <f>IF($A43="","",IF(AV43="淘汰","",ROUND(SUMPRODUCT(Z43:AT43,Z$3:AT$3)/5,1)))</f>
        <v/>
      </c>
    </row>
    <row r="44" ht="15.75" customHeight="1" s="25">
      <c r="A44" s="22" t="n"/>
      <c r="B44" s="20" t="n"/>
      <c r="C44" s="22" t="n"/>
      <c r="D44" s="22" t="n"/>
      <c r="E44" s="22" t="n"/>
      <c r="F44" s="22" t="n"/>
      <c r="G44" s="21" t="n"/>
      <c r="H44" s="21" t="n"/>
      <c r="I44" s="21" t="n"/>
      <c r="J44" s="21" t="n"/>
      <c r="K44" s="21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3">
        <f>IF(E44="","",IF('分位数阈值'!$D$2="","",IFS(E44&gt;='分位数阈值'!$D$2,5,E44&gt;='分位数阈值'!$E$2,4,E44&gt;='分位数阈值'!$F$2,3,E44&gt;='分位数阈值'!$G$2,2,TRUE,1)))</f>
        <v/>
      </c>
      <c r="AA44" s="23">
        <f>IF(F44="","",IF('分位数阈值'!$D$3="","",IFS(F44&gt;='分位数阈值'!$D$3,5,F44&gt;='分位数阈值'!$E$3,4,F44&gt;='分位数阈值'!$F$3,3,F44&gt;='分位数阈值'!$G$3,2,TRUE,1)))</f>
        <v/>
      </c>
      <c r="AB44" s="23">
        <f>IF(G44="","",IF('分位数阈值'!$D$4="","",IFS(G44&gt;='分位数阈值'!$D$4,5,G44&gt;='分位数阈值'!$E$4,4,G44&gt;='分位数阈值'!$F$4,3,G44&gt;='分位数阈值'!$G$4,2,TRUE,1)))</f>
        <v/>
      </c>
      <c r="AC44" s="23">
        <f>IF(H44="","",IF('分位数阈值'!$D$5="","",IFS(H44&gt;='分位数阈值'!$D$5,5,H44&gt;='分位数阈值'!$E$5,4,H44&gt;='分位数阈值'!$F$5,3,H44&gt;='分位数阈值'!$G$5,2,TRUE,1)))</f>
        <v/>
      </c>
      <c r="AD44" s="23">
        <f>IF(I44="","",IF('分位数阈值'!$D$6="","",IFS(I44&gt;='分位数阈值'!$D$6,5,I44&gt;='分位数阈值'!$E$6,4,I44&gt;='分位数阈值'!$F$6,3,I44&gt;='分位数阈值'!$G$6,2,TRUE,1)))</f>
        <v/>
      </c>
      <c r="AE44" s="23">
        <f>IF(J44="","",IF('分位数阈值'!$D$7="","",IFS(J44&gt;='分位数阈值'!$D$7,5,J44&gt;='分位数阈值'!$E$7,4,J44&gt;='分位数阈值'!$F$7,3,J44&gt;='分位数阈值'!$G$7,2,TRUE,1)))</f>
        <v/>
      </c>
      <c r="AF44" s="23">
        <f>IF(K44="","",IF('分位数阈值'!$D$8="","",IFS(K44&gt;='分位数阈值'!$D$8,5,K44&gt;='分位数阈值'!$E$8,4,K44&gt;='分位数阈值'!$F$8,3,K44&gt;='分位数阈值'!$G$8,2,TRUE,1)))</f>
        <v/>
      </c>
      <c r="AG44" s="23">
        <f>IF(L44="","",IF('分位数阈值'!$D$9="","",IFS(L44&gt;='分位数阈值'!$D$9,5,L44&gt;='分位数阈值'!$E$9,4,L44&gt;='分位数阈值'!$F$9,3,L44&gt;='分位数阈值'!$G$9,2,TRUE,1)))</f>
        <v/>
      </c>
      <c r="AH44" s="23">
        <f>IF(M44="","",IF('分位数阈值'!$D$10="","",IFS(M44&lt;='分位数阈值'!$G$10,5,M44&lt;='分位数阈值'!$F$10,4,M44&lt;='分位数阈值'!$E$10,3,M44&lt;='分位数阈值'!$D$10,2,TRUE,1)))</f>
        <v/>
      </c>
      <c r="AI44" s="23">
        <f>IF(N44="","",IF('分位数阈值'!$D$11="","",IFS(N44&lt;='分位数阈值'!$G$11,5,N44&lt;='分位数阈值'!$F$11,4,N44&lt;='分位数阈值'!$E$11,3,N44&lt;='分位数阈值'!$D$11,2,TRUE,1)))</f>
        <v/>
      </c>
      <c r="AJ44" s="23">
        <f>IF(P44="","",IF(P44=1,1,5))</f>
        <v/>
      </c>
      <c r="AK44" s="23">
        <f>IF(Q44="","",IF(Q44=1,1,5))</f>
        <v/>
      </c>
      <c r="AL44" s="23">
        <f>IF(O44="","",IF('分位数阈值'!$D$12="","",IFS(O44&gt;='分位数阈值'!$D$12,5,O44&gt;='分位数阈值'!$E$12,4,O44&gt;='分位数阈值'!$F$12,3,O44&gt;='分位数阈值'!$G$12,2,TRUE,1)))</f>
        <v/>
      </c>
      <c r="AM44" s="23">
        <f>IF(R44="","",IF('分位数阈值'!$D$13="","",IFS(R44&lt;='分位数阈值'!$G$13,5,R44&lt;='分位数阈值'!$F$13,4,R44&lt;='分位数阈值'!$E$13,3,R44&lt;='分位数阈值'!$D$13,2,TRUE,1)))</f>
        <v/>
      </c>
      <c r="AN44" s="23">
        <f>IF(S44="","",IF('分位数阈值'!$D$14="","",IFS(S44&lt;='分位数阈值'!$G$14,5,S44&lt;='分位数阈值'!$F$14,4,S44&lt;='分位数阈值'!$E$14,3,S44&lt;='分位数阈值'!$D$14,2,TRUE,1)))</f>
        <v/>
      </c>
      <c r="AO44" s="23">
        <f>IF(T44="","",IF('分位数阈值'!$D$15="","",IFS(T44&lt;='分位数阈值'!$G$15,5,T44&lt;='分位数阈值'!$F$15,4,T44&lt;='分位数阈值'!$E$15,3,T44&lt;='分位数阈值'!$D$15,2,TRUE,1)))</f>
        <v/>
      </c>
      <c r="AP44" s="23">
        <f>IF(U44="","",IF(U44=1,5,1))</f>
        <v/>
      </c>
      <c r="AQ44" s="23">
        <f>IF(V44="","",V44)</f>
        <v/>
      </c>
      <c r="AR44" s="23">
        <f>IF(W44="","",IF('分位数阈值'!$D$16="","",IFS(W44&lt;='分位数阈值'!$G$16,5,W44&lt;='分位数阈值'!$F$16,4,W44&lt;='分位数阈值'!$E$16,3,W44&lt;='分位数阈值'!$D$16,2,TRUE,1)))</f>
        <v/>
      </c>
      <c r="AS44" s="23">
        <f>IF(X44="","",X44)</f>
        <v/>
      </c>
      <c r="AT44" s="23">
        <f>IF(Y44="","",Y44)</f>
        <v/>
      </c>
      <c r="AU44" s="10">
        <f>IF($A44="","",IF(OR(Z44=1,AR44=1,AJ44=1),"淘汰","通过"))</f>
        <v/>
      </c>
      <c r="AV44" s="10">
        <f>IF($A44="","",IF(OR(AA44=1,AR44=1,AND(AK44=1,AI44=1),AO44=1),"淘汰","通过"))</f>
        <v/>
      </c>
      <c r="AW44" s="24">
        <f>IF($A44="","",IF(AU44="淘汰","",ROUND(SUMPRODUCT(Z44:AT44,Z$2:AT$2)/5,1)))</f>
        <v/>
      </c>
      <c r="AX44" s="24">
        <f>IF($A44="","",IF(AV44="淘汰","",ROUND(SUMPRODUCT(Z44:AT44,Z$3:AT$3)/5,1)))</f>
        <v/>
      </c>
    </row>
    <row r="45" ht="15.75" customHeight="1" s="25">
      <c r="A45" s="22" t="n"/>
      <c r="B45" s="20" t="n"/>
      <c r="C45" s="22" t="n"/>
      <c r="D45" s="22" t="n"/>
      <c r="E45" s="22" t="n"/>
      <c r="F45" s="22" t="n"/>
      <c r="G45" s="21" t="n"/>
      <c r="H45" s="21" t="n"/>
      <c r="I45" s="21" t="n"/>
      <c r="J45" s="21" t="n"/>
      <c r="K45" s="21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3">
        <f>IF(E45="","",IF('分位数阈值'!$D$2="","",IFS(E45&gt;='分位数阈值'!$D$2,5,E45&gt;='分位数阈值'!$E$2,4,E45&gt;='分位数阈值'!$F$2,3,E45&gt;='分位数阈值'!$G$2,2,TRUE,1)))</f>
        <v/>
      </c>
      <c r="AA45" s="23">
        <f>IF(F45="","",IF('分位数阈值'!$D$3="","",IFS(F45&gt;='分位数阈值'!$D$3,5,F45&gt;='分位数阈值'!$E$3,4,F45&gt;='分位数阈值'!$F$3,3,F45&gt;='分位数阈值'!$G$3,2,TRUE,1)))</f>
        <v/>
      </c>
      <c r="AB45" s="23">
        <f>IF(G45="","",IF('分位数阈值'!$D$4="","",IFS(G45&gt;='分位数阈值'!$D$4,5,G45&gt;='分位数阈值'!$E$4,4,G45&gt;='分位数阈值'!$F$4,3,G45&gt;='分位数阈值'!$G$4,2,TRUE,1)))</f>
        <v/>
      </c>
      <c r="AC45" s="23">
        <f>IF(H45="","",IF('分位数阈值'!$D$5="","",IFS(H45&gt;='分位数阈值'!$D$5,5,H45&gt;='分位数阈值'!$E$5,4,H45&gt;='分位数阈值'!$F$5,3,H45&gt;='分位数阈值'!$G$5,2,TRUE,1)))</f>
        <v/>
      </c>
      <c r="AD45" s="23">
        <f>IF(I45="","",IF('分位数阈值'!$D$6="","",IFS(I45&gt;='分位数阈值'!$D$6,5,I45&gt;='分位数阈值'!$E$6,4,I45&gt;='分位数阈值'!$F$6,3,I45&gt;='分位数阈值'!$G$6,2,TRUE,1)))</f>
        <v/>
      </c>
      <c r="AE45" s="23">
        <f>IF(J45="","",IF('分位数阈值'!$D$7="","",IFS(J45&gt;='分位数阈值'!$D$7,5,J45&gt;='分位数阈值'!$E$7,4,J45&gt;='分位数阈值'!$F$7,3,J45&gt;='分位数阈值'!$G$7,2,TRUE,1)))</f>
        <v/>
      </c>
      <c r="AF45" s="23">
        <f>IF(K45="","",IF('分位数阈值'!$D$8="","",IFS(K45&gt;='分位数阈值'!$D$8,5,K45&gt;='分位数阈值'!$E$8,4,K45&gt;='分位数阈值'!$F$8,3,K45&gt;='分位数阈值'!$G$8,2,TRUE,1)))</f>
        <v/>
      </c>
      <c r="AG45" s="23">
        <f>IF(L45="","",IF('分位数阈值'!$D$9="","",IFS(L45&gt;='分位数阈值'!$D$9,5,L45&gt;='分位数阈值'!$E$9,4,L45&gt;='分位数阈值'!$F$9,3,L45&gt;='分位数阈值'!$G$9,2,TRUE,1)))</f>
        <v/>
      </c>
      <c r="AH45" s="23">
        <f>IF(M45="","",IF('分位数阈值'!$D$10="","",IFS(M45&lt;='分位数阈值'!$G$10,5,M45&lt;='分位数阈值'!$F$10,4,M45&lt;='分位数阈值'!$E$10,3,M45&lt;='分位数阈值'!$D$10,2,TRUE,1)))</f>
        <v/>
      </c>
      <c r="AI45" s="23">
        <f>IF(N45="","",IF('分位数阈值'!$D$11="","",IFS(N45&lt;='分位数阈值'!$G$11,5,N45&lt;='分位数阈值'!$F$11,4,N45&lt;='分位数阈值'!$E$11,3,N45&lt;='分位数阈值'!$D$11,2,TRUE,1)))</f>
        <v/>
      </c>
      <c r="AJ45" s="23">
        <f>IF(P45="","",IF(P45=1,1,5))</f>
        <v/>
      </c>
      <c r="AK45" s="23">
        <f>IF(Q45="","",IF(Q45=1,1,5))</f>
        <v/>
      </c>
      <c r="AL45" s="23">
        <f>IF(O45="","",IF('分位数阈值'!$D$12="","",IFS(O45&gt;='分位数阈值'!$D$12,5,O45&gt;='分位数阈值'!$E$12,4,O45&gt;='分位数阈值'!$F$12,3,O45&gt;='分位数阈值'!$G$12,2,TRUE,1)))</f>
        <v/>
      </c>
      <c r="AM45" s="23">
        <f>IF(R45="","",IF('分位数阈值'!$D$13="","",IFS(R45&lt;='分位数阈值'!$G$13,5,R45&lt;='分位数阈值'!$F$13,4,R45&lt;='分位数阈值'!$E$13,3,R45&lt;='分位数阈值'!$D$13,2,TRUE,1)))</f>
        <v/>
      </c>
      <c r="AN45" s="23">
        <f>IF(S45="","",IF('分位数阈值'!$D$14="","",IFS(S45&lt;='分位数阈值'!$G$14,5,S45&lt;='分位数阈值'!$F$14,4,S45&lt;='分位数阈值'!$E$14,3,S45&lt;='分位数阈值'!$D$14,2,TRUE,1)))</f>
        <v/>
      </c>
      <c r="AO45" s="23">
        <f>IF(T45="","",IF('分位数阈值'!$D$15="","",IFS(T45&lt;='分位数阈值'!$G$15,5,T45&lt;='分位数阈值'!$F$15,4,T45&lt;='分位数阈值'!$E$15,3,T45&lt;='分位数阈值'!$D$15,2,TRUE,1)))</f>
        <v/>
      </c>
      <c r="AP45" s="23">
        <f>IF(U45="","",IF(U45=1,5,1))</f>
        <v/>
      </c>
      <c r="AQ45" s="23">
        <f>IF(V45="","",V45)</f>
        <v/>
      </c>
      <c r="AR45" s="23">
        <f>IF(W45="","",IF('分位数阈值'!$D$16="","",IFS(W45&lt;='分位数阈值'!$G$16,5,W45&lt;='分位数阈值'!$F$16,4,W45&lt;='分位数阈值'!$E$16,3,W45&lt;='分位数阈值'!$D$16,2,TRUE,1)))</f>
        <v/>
      </c>
      <c r="AS45" s="23">
        <f>IF(X45="","",X45)</f>
        <v/>
      </c>
      <c r="AT45" s="23">
        <f>IF(Y45="","",Y45)</f>
        <v/>
      </c>
      <c r="AU45" s="10">
        <f>IF($A45="","",IF(OR(Z45=1,AR45=1,AJ45=1),"淘汰","通过"))</f>
        <v/>
      </c>
      <c r="AV45" s="10">
        <f>IF($A45="","",IF(OR(AA45=1,AR45=1,AND(AK45=1,AI45=1),AO45=1),"淘汰","通过"))</f>
        <v/>
      </c>
      <c r="AW45" s="24">
        <f>IF($A45="","",IF(AU45="淘汰","",ROUND(SUMPRODUCT(Z45:AT45,Z$2:AT$2)/5,1)))</f>
        <v/>
      </c>
      <c r="AX45" s="24">
        <f>IF($A45="","",IF(AV45="淘汰","",ROUND(SUMPRODUCT(Z45:AT45,Z$3:AT$3)/5,1)))</f>
        <v/>
      </c>
    </row>
    <row r="46" ht="15.75" customHeight="1" s="25">
      <c r="A46" s="22" t="n"/>
      <c r="B46" s="20" t="n"/>
      <c r="C46" s="22" t="n"/>
      <c r="D46" s="22" t="n"/>
      <c r="E46" s="22" t="n"/>
      <c r="F46" s="22" t="n"/>
      <c r="G46" s="21" t="n"/>
      <c r="H46" s="21" t="n"/>
      <c r="I46" s="21" t="n"/>
      <c r="J46" s="21" t="n"/>
      <c r="K46" s="21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3">
        <f>IF(E46="","",IF('分位数阈值'!$D$2="","",IFS(E46&gt;='分位数阈值'!$D$2,5,E46&gt;='分位数阈值'!$E$2,4,E46&gt;='分位数阈值'!$F$2,3,E46&gt;='分位数阈值'!$G$2,2,TRUE,1)))</f>
        <v/>
      </c>
      <c r="AA46" s="23">
        <f>IF(F46="","",IF('分位数阈值'!$D$3="","",IFS(F46&gt;='分位数阈值'!$D$3,5,F46&gt;='分位数阈值'!$E$3,4,F46&gt;='分位数阈值'!$F$3,3,F46&gt;='分位数阈值'!$G$3,2,TRUE,1)))</f>
        <v/>
      </c>
      <c r="AB46" s="23">
        <f>IF(G46="","",IF('分位数阈值'!$D$4="","",IFS(G46&gt;='分位数阈值'!$D$4,5,G46&gt;='分位数阈值'!$E$4,4,G46&gt;='分位数阈值'!$F$4,3,G46&gt;='分位数阈值'!$G$4,2,TRUE,1)))</f>
        <v/>
      </c>
      <c r="AC46" s="23">
        <f>IF(H46="","",IF('分位数阈值'!$D$5="","",IFS(H46&gt;='分位数阈值'!$D$5,5,H46&gt;='分位数阈值'!$E$5,4,H46&gt;='分位数阈值'!$F$5,3,H46&gt;='分位数阈值'!$G$5,2,TRUE,1)))</f>
        <v/>
      </c>
      <c r="AD46" s="23">
        <f>IF(I46="","",IF('分位数阈值'!$D$6="","",IFS(I46&gt;='分位数阈值'!$D$6,5,I46&gt;='分位数阈值'!$E$6,4,I46&gt;='分位数阈值'!$F$6,3,I46&gt;='分位数阈值'!$G$6,2,TRUE,1)))</f>
        <v/>
      </c>
      <c r="AE46" s="23">
        <f>IF(J46="","",IF('分位数阈值'!$D$7="","",IFS(J46&gt;='分位数阈值'!$D$7,5,J46&gt;='分位数阈值'!$E$7,4,J46&gt;='分位数阈值'!$F$7,3,J46&gt;='分位数阈值'!$G$7,2,TRUE,1)))</f>
        <v/>
      </c>
      <c r="AF46" s="23">
        <f>IF(K46="","",IF('分位数阈值'!$D$8="","",IFS(K46&gt;='分位数阈值'!$D$8,5,K46&gt;='分位数阈值'!$E$8,4,K46&gt;='分位数阈值'!$F$8,3,K46&gt;='分位数阈值'!$G$8,2,TRUE,1)))</f>
        <v/>
      </c>
      <c r="AG46" s="23">
        <f>IF(L46="","",IF('分位数阈值'!$D$9="","",IFS(L46&gt;='分位数阈值'!$D$9,5,L46&gt;='分位数阈值'!$E$9,4,L46&gt;='分位数阈值'!$F$9,3,L46&gt;='分位数阈值'!$G$9,2,TRUE,1)))</f>
        <v/>
      </c>
      <c r="AH46" s="23">
        <f>IF(M46="","",IF('分位数阈值'!$D$10="","",IFS(M46&lt;='分位数阈值'!$G$10,5,M46&lt;='分位数阈值'!$F$10,4,M46&lt;='分位数阈值'!$E$10,3,M46&lt;='分位数阈值'!$D$10,2,TRUE,1)))</f>
        <v/>
      </c>
      <c r="AI46" s="23">
        <f>IF(N46="","",IF('分位数阈值'!$D$11="","",IFS(N46&lt;='分位数阈值'!$G$11,5,N46&lt;='分位数阈值'!$F$11,4,N46&lt;='分位数阈值'!$E$11,3,N46&lt;='分位数阈值'!$D$11,2,TRUE,1)))</f>
        <v/>
      </c>
      <c r="AJ46" s="23">
        <f>IF(P46="","",IF(P46=1,1,5))</f>
        <v/>
      </c>
      <c r="AK46" s="23">
        <f>IF(Q46="","",IF(Q46=1,1,5))</f>
        <v/>
      </c>
      <c r="AL46" s="23">
        <f>IF(O46="","",IF('分位数阈值'!$D$12="","",IFS(O46&gt;='分位数阈值'!$D$12,5,O46&gt;='分位数阈值'!$E$12,4,O46&gt;='分位数阈值'!$F$12,3,O46&gt;='分位数阈值'!$G$12,2,TRUE,1)))</f>
        <v/>
      </c>
      <c r="AM46" s="23">
        <f>IF(R46="","",IF('分位数阈值'!$D$13="","",IFS(R46&lt;='分位数阈值'!$G$13,5,R46&lt;='分位数阈值'!$F$13,4,R46&lt;='分位数阈值'!$E$13,3,R46&lt;='分位数阈值'!$D$13,2,TRUE,1)))</f>
        <v/>
      </c>
      <c r="AN46" s="23">
        <f>IF(S46="","",IF('分位数阈值'!$D$14="","",IFS(S46&lt;='分位数阈值'!$G$14,5,S46&lt;='分位数阈值'!$F$14,4,S46&lt;='分位数阈值'!$E$14,3,S46&lt;='分位数阈值'!$D$14,2,TRUE,1)))</f>
        <v/>
      </c>
      <c r="AO46" s="23">
        <f>IF(T46="","",IF('分位数阈值'!$D$15="","",IFS(T46&lt;='分位数阈值'!$G$15,5,T46&lt;='分位数阈值'!$F$15,4,T46&lt;='分位数阈值'!$E$15,3,T46&lt;='分位数阈值'!$D$15,2,TRUE,1)))</f>
        <v/>
      </c>
      <c r="AP46" s="23">
        <f>IF(U46="","",IF(U46=1,5,1))</f>
        <v/>
      </c>
      <c r="AQ46" s="23">
        <f>IF(V46="","",V46)</f>
        <v/>
      </c>
      <c r="AR46" s="23">
        <f>IF(W46="","",IF('分位数阈值'!$D$16="","",IFS(W46&lt;='分位数阈值'!$G$16,5,W46&lt;='分位数阈值'!$F$16,4,W46&lt;='分位数阈值'!$E$16,3,W46&lt;='分位数阈值'!$D$16,2,TRUE,1)))</f>
        <v/>
      </c>
      <c r="AS46" s="23">
        <f>IF(X46="","",X46)</f>
        <v/>
      </c>
      <c r="AT46" s="23">
        <f>IF(Y46="","",Y46)</f>
        <v/>
      </c>
      <c r="AU46" s="10">
        <f>IF($A46="","",IF(OR(Z46=1,AR46=1,AJ46=1),"淘汰","通过"))</f>
        <v/>
      </c>
      <c r="AV46" s="10">
        <f>IF($A46="","",IF(OR(AA46=1,AR46=1,AND(AK46=1,AI46=1),AO46=1),"淘汰","通过"))</f>
        <v/>
      </c>
      <c r="AW46" s="24">
        <f>IF($A46="","",IF(AU46="淘汰","",ROUND(SUMPRODUCT(Z46:AT46,Z$2:AT$2)/5,1)))</f>
        <v/>
      </c>
      <c r="AX46" s="24">
        <f>IF($A46="","",IF(AV46="淘汰","",ROUND(SUMPRODUCT(Z46:AT46,Z$3:AT$3)/5,1)))</f>
        <v/>
      </c>
    </row>
    <row r="47" ht="15.75" customHeight="1" s="25">
      <c r="A47" s="22" t="n"/>
      <c r="B47" s="20" t="n"/>
      <c r="C47" s="22" t="n"/>
      <c r="D47" s="22" t="n"/>
      <c r="E47" s="22" t="n"/>
      <c r="F47" s="22" t="n"/>
      <c r="G47" s="21" t="n"/>
      <c r="H47" s="21" t="n"/>
      <c r="I47" s="21" t="n"/>
      <c r="J47" s="21" t="n"/>
      <c r="K47" s="21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3">
        <f>IF(E47="","",IF('分位数阈值'!$D$2="","",IFS(E47&gt;='分位数阈值'!$D$2,5,E47&gt;='分位数阈值'!$E$2,4,E47&gt;='分位数阈值'!$F$2,3,E47&gt;='分位数阈值'!$G$2,2,TRUE,1)))</f>
        <v/>
      </c>
      <c r="AA47" s="23">
        <f>IF(F47="","",IF('分位数阈值'!$D$3="","",IFS(F47&gt;='分位数阈值'!$D$3,5,F47&gt;='分位数阈值'!$E$3,4,F47&gt;='分位数阈值'!$F$3,3,F47&gt;='分位数阈值'!$G$3,2,TRUE,1)))</f>
        <v/>
      </c>
      <c r="AB47" s="23">
        <f>IF(G47="","",IF('分位数阈值'!$D$4="","",IFS(G47&gt;='分位数阈值'!$D$4,5,G47&gt;='分位数阈值'!$E$4,4,G47&gt;='分位数阈值'!$F$4,3,G47&gt;='分位数阈值'!$G$4,2,TRUE,1)))</f>
        <v/>
      </c>
      <c r="AC47" s="23">
        <f>IF(H47="","",IF('分位数阈值'!$D$5="","",IFS(H47&gt;='分位数阈值'!$D$5,5,H47&gt;='分位数阈值'!$E$5,4,H47&gt;='分位数阈值'!$F$5,3,H47&gt;='分位数阈值'!$G$5,2,TRUE,1)))</f>
        <v/>
      </c>
      <c r="AD47" s="23">
        <f>IF(I47="","",IF('分位数阈值'!$D$6="","",IFS(I47&gt;='分位数阈值'!$D$6,5,I47&gt;='分位数阈值'!$E$6,4,I47&gt;='分位数阈值'!$F$6,3,I47&gt;='分位数阈值'!$G$6,2,TRUE,1)))</f>
        <v/>
      </c>
      <c r="AE47" s="23">
        <f>IF(J47="","",IF('分位数阈值'!$D$7="","",IFS(J47&gt;='分位数阈值'!$D$7,5,J47&gt;='分位数阈值'!$E$7,4,J47&gt;='分位数阈值'!$F$7,3,J47&gt;='分位数阈值'!$G$7,2,TRUE,1)))</f>
        <v/>
      </c>
      <c r="AF47" s="23">
        <f>IF(K47="","",IF('分位数阈值'!$D$8="","",IFS(K47&gt;='分位数阈值'!$D$8,5,K47&gt;='分位数阈值'!$E$8,4,K47&gt;='分位数阈值'!$F$8,3,K47&gt;='分位数阈值'!$G$8,2,TRUE,1)))</f>
        <v/>
      </c>
      <c r="AG47" s="23">
        <f>IF(L47="","",IF('分位数阈值'!$D$9="","",IFS(L47&gt;='分位数阈值'!$D$9,5,L47&gt;='分位数阈值'!$E$9,4,L47&gt;='分位数阈值'!$F$9,3,L47&gt;='分位数阈值'!$G$9,2,TRUE,1)))</f>
        <v/>
      </c>
      <c r="AH47" s="23">
        <f>IF(M47="","",IF('分位数阈值'!$D$10="","",IFS(M47&lt;='分位数阈值'!$G$10,5,M47&lt;='分位数阈值'!$F$10,4,M47&lt;='分位数阈值'!$E$10,3,M47&lt;='分位数阈值'!$D$10,2,TRUE,1)))</f>
        <v/>
      </c>
      <c r="AI47" s="23">
        <f>IF(N47="","",IF('分位数阈值'!$D$11="","",IFS(N47&lt;='分位数阈值'!$G$11,5,N47&lt;='分位数阈值'!$F$11,4,N47&lt;='分位数阈值'!$E$11,3,N47&lt;='分位数阈值'!$D$11,2,TRUE,1)))</f>
        <v/>
      </c>
      <c r="AJ47" s="23">
        <f>IF(P47="","",IF(P47=1,1,5))</f>
        <v/>
      </c>
      <c r="AK47" s="23">
        <f>IF(Q47="","",IF(Q47=1,1,5))</f>
        <v/>
      </c>
      <c r="AL47" s="23">
        <f>IF(O47="","",IF('分位数阈值'!$D$12="","",IFS(O47&gt;='分位数阈值'!$D$12,5,O47&gt;='分位数阈值'!$E$12,4,O47&gt;='分位数阈值'!$F$12,3,O47&gt;='分位数阈值'!$G$12,2,TRUE,1)))</f>
        <v/>
      </c>
      <c r="AM47" s="23">
        <f>IF(R47="","",IF('分位数阈值'!$D$13="","",IFS(R47&lt;='分位数阈值'!$G$13,5,R47&lt;='分位数阈值'!$F$13,4,R47&lt;='分位数阈值'!$E$13,3,R47&lt;='分位数阈值'!$D$13,2,TRUE,1)))</f>
        <v/>
      </c>
      <c r="AN47" s="23">
        <f>IF(S47="","",IF('分位数阈值'!$D$14="","",IFS(S47&lt;='分位数阈值'!$G$14,5,S47&lt;='分位数阈值'!$F$14,4,S47&lt;='分位数阈值'!$E$14,3,S47&lt;='分位数阈值'!$D$14,2,TRUE,1)))</f>
        <v/>
      </c>
      <c r="AO47" s="23">
        <f>IF(T47="","",IF('分位数阈值'!$D$15="","",IFS(T47&lt;='分位数阈值'!$G$15,5,T47&lt;='分位数阈值'!$F$15,4,T47&lt;='分位数阈值'!$E$15,3,T47&lt;='分位数阈值'!$D$15,2,TRUE,1)))</f>
        <v/>
      </c>
      <c r="AP47" s="23">
        <f>IF(U47="","",IF(U47=1,5,1))</f>
        <v/>
      </c>
      <c r="AQ47" s="23">
        <f>IF(V47="","",V47)</f>
        <v/>
      </c>
      <c r="AR47" s="23">
        <f>IF(W47="","",IF('分位数阈值'!$D$16="","",IFS(W47&lt;='分位数阈值'!$G$16,5,W47&lt;='分位数阈值'!$F$16,4,W47&lt;='分位数阈值'!$E$16,3,W47&lt;='分位数阈值'!$D$16,2,TRUE,1)))</f>
        <v/>
      </c>
      <c r="AS47" s="23">
        <f>IF(X47="","",X47)</f>
        <v/>
      </c>
      <c r="AT47" s="23">
        <f>IF(Y47="","",Y47)</f>
        <v/>
      </c>
      <c r="AU47" s="10">
        <f>IF($A47="","",IF(OR(Z47=1,AR47=1,AJ47=1),"淘汰","通过"))</f>
        <v/>
      </c>
      <c r="AV47" s="10">
        <f>IF($A47="","",IF(OR(AA47=1,AR47=1,AND(AK47=1,AI47=1),AO47=1),"淘汰","通过"))</f>
        <v/>
      </c>
      <c r="AW47" s="24">
        <f>IF($A47="","",IF(AU47="淘汰","",ROUND(SUMPRODUCT(Z47:AT47,Z$2:AT$2)/5,1)))</f>
        <v/>
      </c>
      <c r="AX47" s="24">
        <f>IF($A47="","",IF(AV47="淘汰","",ROUND(SUMPRODUCT(Z47:AT47,Z$3:AT$3)/5,1)))</f>
        <v/>
      </c>
    </row>
    <row r="48" ht="15.75" customHeight="1" s="25">
      <c r="A48" s="22" t="n"/>
      <c r="B48" s="20" t="n"/>
      <c r="C48" s="22" t="n"/>
      <c r="D48" s="22" t="n"/>
      <c r="E48" s="22" t="n"/>
      <c r="F48" s="22" t="n"/>
      <c r="G48" s="21" t="n"/>
      <c r="H48" s="21" t="n"/>
      <c r="I48" s="21" t="n"/>
      <c r="J48" s="21" t="n"/>
      <c r="K48" s="21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3">
        <f>IF(E48="","",IF('分位数阈值'!$D$2="","",IFS(E48&gt;='分位数阈值'!$D$2,5,E48&gt;='分位数阈值'!$E$2,4,E48&gt;='分位数阈值'!$F$2,3,E48&gt;='分位数阈值'!$G$2,2,TRUE,1)))</f>
        <v/>
      </c>
      <c r="AA48" s="23">
        <f>IF(F48="","",IF('分位数阈值'!$D$3="","",IFS(F48&gt;='分位数阈值'!$D$3,5,F48&gt;='分位数阈值'!$E$3,4,F48&gt;='分位数阈值'!$F$3,3,F48&gt;='分位数阈值'!$G$3,2,TRUE,1)))</f>
        <v/>
      </c>
      <c r="AB48" s="23">
        <f>IF(G48="","",IF('分位数阈值'!$D$4="","",IFS(G48&gt;='分位数阈值'!$D$4,5,G48&gt;='分位数阈值'!$E$4,4,G48&gt;='分位数阈值'!$F$4,3,G48&gt;='分位数阈值'!$G$4,2,TRUE,1)))</f>
        <v/>
      </c>
      <c r="AC48" s="23">
        <f>IF(H48="","",IF('分位数阈值'!$D$5="","",IFS(H48&gt;='分位数阈值'!$D$5,5,H48&gt;='分位数阈值'!$E$5,4,H48&gt;='分位数阈值'!$F$5,3,H48&gt;='分位数阈值'!$G$5,2,TRUE,1)))</f>
        <v/>
      </c>
      <c r="AD48" s="23">
        <f>IF(I48="","",IF('分位数阈值'!$D$6="","",IFS(I48&gt;='分位数阈值'!$D$6,5,I48&gt;='分位数阈值'!$E$6,4,I48&gt;='分位数阈值'!$F$6,3,I48&gt;='分位数阈值'!$G$6,2,TRUE,1)))</f>
        <v/>
      </c>
      <c r="AE48" s="23">
        <f>IF(J48="","",IF('分位数阈值'!$D$7="","",IFS(J48&gt;='分位数阈值'!$D$7,5,J48&gt;='分位数阈值'!$E$7,4,J48&gt;='分位数阈值'!$F$7,3,J48&gt;='分位数阈值'!$G$7,2,TRUE,1)))</f>
        <v/>
      </c>
      <c r="AF48" s="23">
        <f>IF(K48="","",IF('分位数阈值'!$D$8="","",IFS(K48&gt;='分位数阈值'!$D$8,5,K48&gt;='分位数阈值'!$E$8,4,K48&gt;='分位数阈值'!$F$8,3,K48&gt;='分位数阈值'!$G$8,2,TRUE,1)))</f>
        <v/>
      </c>
      <c r="AG48" s="23">
        <f>IF(L48="","",IF('分位数阈值'!$D$9="","",IFS(L48&gt;='分位数阈值'!$D$9,5,L48&gt;='分位数阈值'!$E$9,4,L48&gt;='分位数阈值'!$F$9,3,L48&gt;='分位数阈值'!$G$9,2,TRUE,1)))</f>
        <v/>
      </c>
      <c r="AH48" s="23">
        <f>IF(M48="","",IF('分位数阈值'!$D$10="","",IFS(M48&lt;='分位数阈值'!$G$10,5,M48&lt;='分位数阈值'!$F$10,4,M48&lt;='分位数阈值'!$E$10,3,M48&lt;='分位数阈值'!$D$10,2,TRUE,1)))</f>
        <v/>
      </c>
      <c r="AI48" s="23">
        <f>IF(N48="","",IF('分位数阈值'!$D$11="","",IFS(N48&lt;='分位数阈值'!$G$11,5,N48&lt;='分位数阈值'!$F$11,4,N48&lt;='分位数阈值'!$E$11,3,N48&lt;='分位数阈值'!$D$11,2,TRUE,1)))</f>
        <v/>
      </c>
      <c r="AJ48" s="23">
        <f>IF(P48="","",IF(P48=1,1,5))</f>
        <v/>
      </c>
      <c r="AK48" s="23">
        <f>IF(Q48="","",IF(Q48=1,1,5))</f>
        <v/>
      </c>
      <c r="AL48" s="23">
        <f>IF(O48="","",IF('分位数阈值'!$D$12="","",IFS(O48&gt;='分位数阈值'!$D$12,5,O48&gt;='分位数阈值'!$E$12,4,O48&gt;='分位数阈值'!$F$12,3,O48&gt;='分位数阈值'!$G$12,2,TRUE,1)))</f>
        <v/>
      </c>
      <c r="AM48" s="23">
        <f>IF(R48="","",IF('分位数阈值'!$D$13="","",IFS(R48&lt;='分位数阈值'!$G$13,5,R48&lt;='分位数阈值'!$F$13,4,R48&lt;='分位数阈值'!$E$13,3,R48&lt;='分位数阈值'!$D$13,2,TRUE,1)))</f>
        <v/>
      </c>
      <c r="AN48" s="23">
        <f>IF(S48="","",IF('分位数阈值'!$D$14="","",IFS(S48&lt;='分位数阈值'!$G$14,5,S48&lt;='分位数阈值'!$F$14,4,S48&lt;='分位数阈值'!$E$14,3,S48&lt;='分位数阈值'!$D$14,2,TRUE,1)))</f>
        <v/>
      </c>
      <c r="AO48" s="23">
        <f>IF(T48="","",IF('分位数阈值'!$D$15="","",IFS(T48&lt;='分位数阈值'!$G$15,5,T48&lt;='分位数阈值'!$F$15,4,T48&lt;='分位数阈值'!$E$15,3,T48&lt;='分位数阈值'!$D$15,2,TRUE,1)))</f>
        <v/>
      </c>
      <c r="AP48" s="23">
        <f>IF(U48="","",IF(U48=1,5,1))</f>
        <v/>
      </c>
      <c r="AQ48" s="23">
        <f>IF(V48="","",V48)</f>
        <v/>
      </c>
      <c r="AR48" s="23">
        <f>IF(W48="","",IF('分位数阈值'!$D$16="","",IFS(W48&lt;='分位数阈值'!$G$16,5,W48&lt;='分位数阈值'!$F$16,4,W48&lt;='分位数阈值'!$E$16,3,W48&lt;='分位数阈值'!$D$16,2,TRUE,1)))</f>
        <v/>
      </c>
      <c r="AS48" s="23">
        <f>IF(X48="","",X48)</f>
        <v/>
      </c>
      <c r="AT48" s="23">
        <f>IF(Y48="","",Y48)</f>
        <v/>
      </c>
      <c r="AU48" s="10">
        <f>IF($A48="","",IF(OR(Z48=1,AR48=1,AJ48=1),"淘汰","通过"))</f>
        <v/>
      </c>
      <c r="AV48" s="10">
        <f>IF($A48="","",IF(OR(AA48=1,AR48=1,AND(AK48=1,AI48=1),AO48=1),"淘汰","通过"))</f>
        <v/>
      </c>
      <c r="AW48" s="24">
        <f>IF($A48="","",IF(AU48="淘汰","",ROUND(SUMPRODUCT(Z48:AT48,Z$2:AT$2)/5,1)))</f>
        <v/>
      </c>
      <c r="AX48" s="24">
        <f>IF($A48="","",IF(AV48="淘汰","",ROUND(SUMPRODUCT(Z48:AT48,Z$3:AT$3)/5,1)))</f>
        <v/>
      </c>
    </row>
    <row r="49" ht="15.75" customHeight="1" s="25">
      <c r="A49" s="22" t="n"/>
      <c r="B49" s="20" t="n"/>
      <c r="C49" s="22" t="n"/>
      <c r="D49" s="22" t="n"/>
      <c r="E49" s="22" t="n"/>
      <c r="F49" s="22" t="n"/>
      <c r="G49" s="21" t="n"/>
      <c r="H49" s="21" t="n"/>
      <c r="I49" s="21" t="n"/>
      <c r="J49" s="21" t="n"/>
      <c r="K49" s="21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3">
        <f>IF(E49="","",IF('分位数阈值'!$D$2="","",IFS(E49&gt;='分位数阈值'!$D$2,5,E49&gt;='分位数阈值'!$E$2,4,E49&gt;='分位数阈值'!$F$2,3,E49&gt;='分位数阈值'!$G$2,2,TRUE,1)))</f>
        <v/>
      </c>
      <c r="AA49" s="23">
        <f>IF(F49="","",IF('分位数阈值'!$D$3="","",IFS(F49&gt;='分位数阈值'!$D$3,5,F49&gt;='分位数阈值'!$E$3,4,F49&gt;='分位数阈值'!$F$3,3,F49&gt;='分位数阈值'!$G$3,2,TRUE,1)))</f>
        <v/>
      </c>
      <c r="AB49" s="23">
        <f>IF(G49="","",IF('分位数阈值'!$D$4="","",IFS(G49&gt;='分位数阈值'!$D$4,5,G49&gt;='分位数阈值'!$E$4,4,G49&gt;='分位数阈值'!$F$4,3,G49&gt;='分位数阈值'!$G$4,2,TRUE,1)))</f>
        <v/>
      </c>
      <c r="AC49" s="23">
        <f>IF(H49="","",IF('分位数阈值'!$D$5="","",IFS(H49&gt;='分位数阈值'!$D$5,5,H49&gt;='分位数阈值'!$E$5,4,H49&gt;='分位数阈值'!$F$5,3,H49&gt;='分位数阈值'!$G$5,2,TRUE,1)))</f>
        <v/>
      </c>
      <c r="AD49" s="23">
        <f>IF(I49="","",IF('分位数阈值'!$D$6="","",IFS(I49&gt;='分位数阈值'!$D$6,5,I49&gt;='分位数阈值'!$E$6,4,I49&gt;='分位数阈值'!$F$6,3,I49&gt;='分位数阈值'!$G$6,2,TRUE,1)))</f>
        <v/>
      </c>
      <c r="AE49" s="23">
        <f>IF(J49="","",IF('分位数阈值'!$D$7="","",IFS(J49&gt;='分位数阈值'!$D$7,5,J49&gt;='分位数阈值'!$E$7,4,J49&gt;='分位数阈值'!$F$7,3,J49&gt;='分位数阈值'!$G$7,2,TRUE,1)))</f>
        <v/>
      </c>
      <c r="AF49" s="23">
        <f>IF(K49="","",IF('分位数阈值'!$D$8="","",IFS(K49&gt;='分位数阈值'!$D$8,5,K49&gt;='分位数阈值'!$E$8,4,K49&gt;='分位数阈值'!$F$8,3,K49&gt;='分位数阈值'!$G$8,2,TRUE,1)))</f>
        <v/>
      </c>
      <c r="AG49" s="23">
        <f>IF(L49="","",IF('分位数阈值'!$D$9="","",IFS(L49&gt;='分位数阈值'!$D$9,5,L49&gt;='分位数阈值'!$E$9,4,L49&gt;='分位数阈值'!$F$9,3,L49&gt;='分位数阈值'!$G$9,2,TRUE,1)))</f>
        <v/>
      </c>
      <c r="AH49" s="23">
        <f>IF(M49="","",IF('分位数阈值'!$D$10="","",IFS(M49&lt;='分位数阈值'!$G$10,5,M49&lt;='分位数阈值'!$F$10,4,M49&lt;='分位数阈值'!$E$10,3,M49&lt;='分位数阈值'!$D$10,2,TRUE,1)))</f>
        <v/>
      </c>
      <c r="AI49" s="23">
        <f>IF(N49="","",IF('分位数阈值'!$D$11="","",IFS(N49&lt;='分位数阈值'!$G$11,5,N49&lt;='分位数阈值'!$F$11,4,N49&lt;='分位数阈值'!$E$11,3,N49&lt;='分位数阈值'!$D$11,2,TRUE,1)))</f>
        <v/>
      </c>
      <c r="AJ49" s="23">
        <f>IF(P49="","",IF(P49=1,1,5))</f>
        <v/>
      </c>
      <c r="AK49" s="23">
        <f>IF(Q49="","",IF(Q49=1,1,5))</f>
        <v/>
      </c>
      <c r="AL49" s="23">
        <f>IF(O49="","",IF('分位数阈值'!$D$12="","",IFS(O49&gt;='分位数阈值'!$D$12,5,O49&gt;='分位数阈值'!$E$12,4,O49&gt;='分位数阈值'!$F$12,3,O49&gt;='分位数阈值'!$G$12,2,TRUE,1)))</f>
        <v/>
      </c>
      <c r="AM49" s="23">
        <f>IF(R49="","",IF('分位数阈值'!$D$13="","",IFS(R49&lt;='分位数阈值'!$G$13,5,R49&lt;='分位数阈值'!$F$13,4,R49&lt;='分位数阈值'!$E$13,3,R49&lt;='分位数阈值'!$D$13,2,TRUE,1)))</f>
        <v/>
      </c>
      <c r="AN49" s="23">
        <f>IF(S49="","",IF('分位数阈值'!$D$14="","",IFS(S49&lt;='分位数阈值'!$G$14,5,S49&lt;='分位数阈值'!$F$14,4,S49&lt;='分位数阈值'!$E$14,3,S49&lt;='分位数阈值'!$D$14,2,TRUE,1)))</f>
        <v/>
      </c>
      <c r="AO49" s="23">
        <f>IF(T49="","",IF('分位数阈值'!$D$15="","",IFS(T49&lt;='分位数阈值'!$G$15,5,T49&lt;='分位数阈值'!$F$15,4,T49&lt;='分位数阈值'!$E$15,3,T49&lt;='分位数阈值'!$D$15,2,TRUE,1)))</f>
        <v/>
      </c>
      <c r="AP49" s="23">
        <f>IF(U49="","",IF(U49=1,5,1))</f>
        <v/>
      </c>
      <c r="AQ49" s="23">
        <f>IF(V49="","",V49)</f>
        <v/>
      </c>
      <c r="AR49" s="23">
        <f>IF(W49="","",IF('分位数阈值'!$D$16="","",IFS(W49&lt;='分位数阈值'!$G$16,5,W49&lt;='分位数阈值'!$F$16,4,W49&lt;='分位数阈值'!$E$16,3,W49&lt;='分位数阈值'!$D$16,2,TRUE,1)))</f>
        <v/>
      </c>
      <c r="AS49" s="23">
        <f>IF(X49="","",X49)</f>
        <v/>
      </c>
      <c r="AT49" s="23">
        <f>IF(Y49="","",Y49)</f>
        <v/>
      </c>
      <c r="AU49" s="10">
        <f>IF($A49="","",IF(OR(Z49=1,AR49=1,AJ49=1),"淘汰","通过"))</f>
        <v/>
      </c>
      <c r="AV49" s="10">
        <f>IF($A49="","",IF(OR(AA49=1,AR49=1,AND(AK49=1,AI49=1),AO49=1),"淘汰","通过"))</f>
        <v/>
      </c>
      <c r="AW49" s="24">
        <f>IF($A49="","",IF(AU49="淘汰","",ROUND(SUMPRODUCT(Z49:AT49,Z$2:AT$2)/5,1)))</f>
        <v/>
      </c>
      <c r="AX49" s="24">
        <f>IF($A49="","",IF(AV49="淘汰","",ROUND(SUMPRODUCT(Z49:AT49,Z$3:AT$3)/5,1)))</f>
        <v/>
      </c>
    </row>
    <row r="50" ht="15.75" customHeight="1" s="25">
      <c r="A50" s="22" t="n"/>
      <c r="B50" s="20" t="n"/>
      <c r="C50" s="22" t="n"/>
      <c r="D50" s="22" t="n"/>
      <c r="E50" s="22" t="n"/>
      <c r="F50" s="22" t="n"/>
      <c r="G50" s="21" t="n"/>
      <c r="H50" s="21" t="n"/>
      <c r="I50" s="21" t="n"/>
      <c r="J50" s="21" t="n"/>
      <c r="K50" s="21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3">
        <f>IF(E50="","",IF('分位数阈值'!$D$2="","",IFS(E50&gt;='分位数阈值'!$D$2,5,E50&gt;='分位数阈值'!$E$2,4,E50&gt;='分位数阈值'!$F$2,3,E50&gt;='分位数阈值'!$G$2,2,TRUE,1)))</f>
        <v/>
      </c>
      <c r="AA50" s="23">
        <f>IF(F50="","",IF('分位数阈值'!$D$3="","",IFS(F50&gt;='分位数阈值'!$D$3,5,F50&gt;='分位数阈值'!$E$3,4,F50&gt;='分位数阈值'!$F$3,3,F50&gt;='分位数阈值'!$G$3,2,TRUE,1)))</f>
        <v/>
      </c>
      <c r="AB50" s="23">
        <f>IF(G50="","",IF('分位数阈值'!$D$4="","",IFS(G50&gt;='分位数阈值'!$D$4,5,G50&gt;='分位数阈值'!$E$4,4,G50&gt;='分位数阈值'!$F$4,3,G50&gt;='分位数阈值'!$G$4,2,TRUE,1)))</f>
        <v/>
      </c>
      <c r="AC50" s="23">
        <f>IF(H50="","",IF('分位数阈值'!$D$5="","",IFS(H50&gt;='分位数阈值'!$D$5,5,H50&gt;='分位数阈值'!$E$5,4,H50&gt;='分位数阈值'!$F$5,3,H50&gt;='分位数阈值'!$G$5,2,TRUE,1)))</f>
        <v/>
      </c>
      <c r="AD50" s="23">
        <f>IF(I50="","",IF('分位数阈值'!$D$6="","",IFS(I50&gt;='分位数阈值'!$D$6,5,I50&gt;='分位数阈值'!$E$6,4,I50&gt;='分位数阈值'!$F$6,3,I50&gt;='分位数阈值'!$G$6,2,TRUE,1)))</f>
        <v/>
      </c>
      <c r="AE50" s="23">
        <f>IF(J50="","",IF('分位数阈值'!$D$7="","",IFS(J50&gt;='分位数阈值'!$D$7,5,J50&gt;='分位数阈值'!$E$7,4,J50&gt;='分位数阈值'!$F$7,3,J50&gt;='分位数阈值'!$G$7,2,TRUE,1)))</f>
        <v/>
      </c>
      <c r="AF50" s="23">
        <f>IF(K50="","",IF('分位数阈值'!$D$8="","",IFS(K50&gt;='分位数阈值'!$D$8,5,K50&gt;='分位数阈值'!$E$8,4,K50&gt;='分位数阈值'!$F$8,3,K50&gt;='分位数阈值'!$G$8,2,TRUE,1)))</f>
        <v/>
      </c>
      <c r="AG50" s="23">
        <f>IF(L50="","",IF('分位数阈值'!$D$9="","",IFS(L50&gt;='分位数阈值'!$D$9,5,L50&gt;='分位数阈值'!$E$9,4,L50&gt;='分位数阈值'!$F$9,3,L50&gt;='分位数阈值'!$G$9,2,TRUE,1)))</f>
        <v/>
      </c>
      <c r="AH50" s="23">
        <f>IF(M50="","",IF('分位数阈值'!$D$10="","",IFS(M50&lt;='分位数阈值'!$G$10,5,M50&lt;='分位数阈值'!$F$10,4,M50&lt;='分位数阈值'!$E$10,3,M50&lt;='分位数阈值'!$D$10,2,TRUE,1)))</f>
        <v/>
      </c>
      <c r="AI50" s="23">
        <f>IF(N50="","",IF('分位数阈值'!$D$11="","",IFS(N50&lt;='分位数阈值'!$G$11,5,N50&lt;='分位数阈值'!$F$11,4,N50&lt;='分位数阈值'!$E$11,3,N50&lt;='分位数阈值'!$D$11,2,TRUE,1)))</f>
        <v/>
      </c>
      <c r="AJ50" s="23">
        <f>IF(P50="","",IF(P50=1,1,5))</f>
        <v/>
      </c>
      <c r="AK50" s="23">
        <f>IF(Q50="","",IF(Q50=1,1,5))</f>
        <v/>
      </c>
      <c r="AL50" s="23">
        <f>IF(O50="","",IF('分位数阈值'!$D$12="","",IFS(O50&gt;='分位数阈值'!$D$12,5,O50&gt;='分位数阈值'!$E$12,4,O50&gt;='分位数阈值'!$F$12,3,O50&gt;='分位数阈值'!$G$12,2,TRUE,1)))</f>
        <v/>
      </c>
      <c r="AM50" s="23">
        <f>IF(R50="","",IF('分位数阈值'!$D$13="","",IFS(R50&lt;='分位数阈值'!$G$13,5,R50&lt;='分位数阈值'!$F$13,4,R50&lt;='分位数阈值'!$E$13,3,R50&lt;='分位数阈值'!$D$13,2,TRUE,1)))</f>
        <v/>
      </c>
      <c r="AN50" s="23">
        <f>IF(S50="","",IF('分位数阈值'!$D$14="","",IFS(S50&lt;='分位数阈值'!$G$14,5,S50&lt;='分位数阈值'!$F$14,4,S50&lt;='分位数阈值'!$E$14,3,S50&lt;='分位数阈值'!$D$14,2,TRUE,1)))</f>
        <v/>
      </c>
      <c r="AO50" s="23">
        <f>IF(T50="","",IF('分位数阈值'!$D$15="","",IFS(T50&lt;='分位数阈值'!$G$15,5,T50&lt;='分位数阈值'!$F$15,4,T50&lt;='分位数阈值'!$E$15,3,T50&lt;='分位数阈值'!$D$15,2,TRUE,1)))</f>
        <v/>
      </c>
      <c r="AP50" s="23">
        <f>IF(U50="","",IF(U50=1,5,1))</f>
        <v/>
      </c>
      <c r="AQ50" s="23">
        <f>IF(V50="","",V50)</f>
        <v/>
      </c>
      <c r="AR50" s="23">
        <f>IF(W50="","",IF('分位数阈值'!$D$16="","",IFS(W50&lt;='分位数阈值'!$G$16,5,W50&lt;='分位数阈值'!$F$16,4,W50&lt;='分位数阈值'!$E$16,3,W50&lt;='分位数阈值'!$D$16,2,TRUE,1)))</f>
        <v/>
      </c>
      <c r="AS50" s="23">
        <f>IF(X50="","",X50)</f>
        <v/>
      </c>
      <c r="AT50" s="23">
        <f>IF(Y50="","",Y50)</f>
        <v/>
      </c>
      <c r="AU50" s="10">
        <f>IF($A50="","",IF(OR(Z50=1,AR50=1,AJ50=1),"淘汰","通过"))</f>
        <v/>
      </c>
      <c r="AV50" s="10">
        <f>IF($A50="","",IF(OR(AA50=1,AR50=1,AND(AK50=1,AI50=1),AO50=1),"淘汰","通过"))</f>
        <v/>
      </c>
      <c r="AW50" s="24">
        <f>IF($A50="","",IF(AU50="淘汰","",ROUND(SUMPRODUCT(Z50:AT50,Z$2:AT$2)/5,1)))</f>
        <v/>
      </c>
      <c r="AX50" s="24">
        <f>IF($A50="","",IF(AV50="淘汰","",ROUND(SUMPRODUCT(Z50:AT50,Z$3:AT$3)/5,1)))</f>
        <v/>
      </c>
    </row>
    <row r="51" ht="15.75" customHeight="1" s="25">
      <c r="A51" s="22" t="n"/>
      <c r="B51" s="20" t="n"/>
      <c r="C51" s="22" t="n"/>
      <c r="D51" s="22" t="n"/>
      <c r="E51" s="22" t="n"/>
      <c r="F51" s="22" t="n"/>
      <c r="G51" s="21" t="n"/>
      <c r="H51" s="21" t="n"/>
      <c r="I51" s="21" t="n"/>
      <c r="J51" s="21" t="n"/>
      <c r="K51" s="21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3">
        <f>IF(E51="","",IF('分位数阈值'!$D$2="","",IFS(E51&gt;='分位数阈值'!$D$2,5,E51&gt;='分位数阈值'!$E$2,4,E51&gt;='分位数阈值'!$F$2,3,E51&gt;='分位数阈值'!$G$2,2,TRUE,1)))</f>
        <v/>
      </c>
      <c r="AA51" s="23">
        <f>IF(F51="","",IF('分位数阈值'!$D$3="","",IFS(F51&gt;='分位数阈值'!$D$3,5,F51&gt;='分位数阈值'!$E$3,4,F51&gt;='分位数阈值'!$F$3,3,F51&gt;='分位数阈值'!$G$3,2,TRUE,1)))</f>
        <v/>
      </c>
      <c r="AB51" s="23">
        <f>IF(G51="","",IF('分位数阈值'!$D$4="","",IFS(G51&gt;='分位数阈值'!$D$4,5,G51&gt;='分位数阈值'!$E$4,4,G51&gt;='分位数阈值'!$F$4,3,G51&gt;='分位数阈值'!$G$4,2,TRUE,1)))</f>
        <v/>
      </c>
      <c r="AC51" s="23">
        <f>IF(H51="","",IF('分位数阈值'!$D$5="","",IFS(H51&gt;='分位数阈值'!$D$5,5,H51&gt;='分位数阈值'!$E$5,4,H51&gt;='分位数阈值'!$F$5,3,H51&gt;='分位数阈值'!$G$5,2,TRUE,1)))</f>
        <v/>
      </c>
      <c r="AD51" s="23">
        <f>IF(I51="","",IF('分位数阈值'!$D$6="","",IFS(I51&gt;='分位数阈值'!$D$6,5,I51&gt;='分位数阈值'!$E$6,4,I51&gt;='分位数阈值'!$F$6,3,I51&gt;='分位数阈值'!$G$6,2,TRUE,1)))</f>
        <v/>
      </c>
      <c r="AE51" s="23">
        <f>IF(J51="","",IF('分位数阈值'!$D$7="","",IFS(J51&gt;='分位数阈值'!$D$7,5,J51&gt;='分位数阈值'!$E$7,4,J51&gt;='分位数阈值'!$F$7,3,J51&gt;='分位数阈值'!$G$7,2,TRUE,1)))</f>
        <v/>
      </c>
      <c r="AF51" s="23">
        <f>IF(K51="","",IF('分位数阈值'!$D$8="","",IFS(K51&gt;='分位数阈值'!$D$8,5,K51&gt;='分位数阈值'!$E$8,4,K51&gt;='分位数阈值'!$F$8,3,K51&gt;='分位数阈值'!$G$8,2,TRUE,1)))</f>
        <v/>
      </c>
      <c r="AG51" s="23">
        <f>IF(L51="","",IF('分位数阈值'!$D$9="","",IFS(L51&gt;='分位数阈值'!$D$9,5,L51&gt;='分位数阈值'!$E$9,4,L51&gt;='分位数阈值'!$F$9,3,L51&gt;='分位数阈值'!$G$9,2,TRUE,1)))</f>
        <v/>
      </c>
      <c r="AH51" s="23">
        <f>IF(M51="","",IF('分位数阈值'!$D$10="","",IFS(M51&lt;='分位数阈值'!$G$10,5,M51&lt;='分位数阈值'!$F$10,4,M51&lt;='分位数阈值'!$E$10,3,M51&lt;='分位数阈值'!$D$10,2,TRUE,1)))</f>
        <v/>
      </c>
      <c r="AI51" s="23">
        <f>IF(N51="","",IF('分位数阈值'!$D$11="","",IFS(N51&lt;='分位数阈值'!$G$11,5,N51&lt;='分位数阈值'!$F$11,4,N51&lt;='分位数阈值'!$E$11,3,N51&lt;='分位数阈值'!$D$11,2,TRUE,1)))</f>
        <v/>
      </c>
      <c r="AJ51" s="23">
        <f>IF(P51="","",IF(P51=1,1,5))</f>
        <v/>
      </c>
      <c r="AK51" s="23">
        <f>IF(Q51="","",IF(Q51=1,1,5))</f>
        <v/>
      </c>
      <c r="AL51" s="23">
        <f>IF(O51="","",IF('分位数阈值'!$D$12="","",IFS(O51&gt;='分位数阈值'!$D$12,5,O51&gt;='分位数阈值'!$E$12,4,O51&gt;='分位数阈值'!$F$12,3,O51&gt;='分位数阈值'!$G$12,2,TRUE,1)))</f>
        <v/>
      </c>
      <c r="AM51" s="23">
        <f>IF(R51="","",IF('分位数阈值'!$D$13="","",IFS(R51&lt;='分位数阈值'!$G$13,5,R51&lt;='分位数阈值'!$F$13,4,R51&lt;='分位数阈值'!$E$13,3,R51&lt;='分位数阈值'!$D$13,2,TRUE,1)))</f>
        <v/>
      </c>
      <c r="AN51" s="23">
        <f>IF(S51="","",IF('分位数阈值'!$D$14="","",IFS(S51&lt;='分位数阈值'!$G$14,5,S51&lt;='分位数阈值'!$F$14,4,S51&lt;='分位数阈值'!$E$14,3,S51&lt;='分位数阈值'!$D$14,2,TRUE,1)))</f>
        <v/>
      </c>
      <c r="AO51" s="23">
        <f>IF(T51="","",IF('分位数阈值'!$D$15="","",IFS(T51&lt;='分位数阈值'!$G$15,5,T51&lt;='分位数阈值'!$F$15,4,T51&lt;='分位数阈值'!$E$15,3,T51&lt;='分位数阈值'!$D$15,2,TRUE,1)))</f>
        <v/>
      </c>
      <c r="AP51" s="23">
        <f>IF(U51="","",IF(U51=1,5,1))</f>
        <v/>
      </c>
      <c r="AQ51" s="23">
        <f>IF(V51="","",V51)</f>
        <v/>
      </c>
      <c r="AR51" s="23">
        <f>IF(W51="","",IF('分位数阈值'!$D$16="","",IFS(W51&lt;='分位数阈值'!$G$16,5,W51&lt;='分位数阈值'!$F$16,4,W51&lt;='分位数阈值'!$E$16,3,W51&lt;='分位数阈值'!$D$16,2,TRUE,1)))</f>
        <v/>
      </c>
      <c r="AS51" s="23">
        <f>IF(X51="","",X51)</f>
        <v/>
      </c>
      <c r="AT51" s="23">
        <f>IF(Y51="","",Y51)</f>
        <v/>
      </c>
      <c r="AU51" s="10">
        <f>IF($A51="","",IF(OR(Z51=1,AR51=1,AJ51=1),"淘汰","通过"))</f>
        <v/>
      </c>
      <c r="AV51" s="10">
        <f>IF($A51="","",IF(OR(AA51=1,AR51=1,AND(AK51=1,AI51=1),AO51=1),"淘汰","通过"))</f>
        <v/>
      </c>
      <c r="AW51" s="24">
        <f>IF($A51="","",IF(AU51="淘汰","",ROUND(SUMPRODUCT(Z51:AT51,Z$2:AT$2)/5,1)))</f>
        <v/>
      </c>
      <c r="AX51" s="24">
        <f>IF($A51="","",IF(AV51="淘汰","",ROUND(SUMPRODUCT(Z51:AT51,Z$3:AT$3)/5,1)))</f>
        <v/>
      </c>
    </row>
    <row r="52" ht="15.75" customHeight="1" s="25">
      <c r="A52" s="22" t="n"/>
      <c r="B52" s="20" t="n"/>
      <c r="C52" s="22" t="n"/>
      <c r="D52" s="22" t="n"/>
      <c r="E52" s="22" t="n"/>
      <c r="F52" s="22" t="n"/>
      <c r="G52" s="21" t="n"/>
      <c r="H52" s="21" t="n"/>
      <c r="I52" s="21" t="n"/>
      <c r="J52" s="21" t="n"/>
      <c r="K52" s="21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3">
        <f>IF(E52="","",IF('分位数阈值'!$D$2="","",IFS(E52&gt;='分位数阈值'!$D$2,5,E52&gt;='分位数阈值'!$E$2,4,E52&gt;='分位数阈值'!$F$2,3,E52&gt;='分位数阈值'!$G$2,2,TRUE,1)))</f>
        <v/>
      </c>
      <c r="AA52" s="23">
        <f>IF(F52="","",IF('分位数阈值'!$D$3="","",IFS(F52&gt;='分位数阈值'!$D$3,5,F52&gt;='分位数阈值'!$E$3,4,F52&gt;='分位数阈值'!$F$3,3,F52&gt;='分位数阈值'!$G$3,2,TRUE,1)))</f>
        <v/>
      </c>
      <c r="AB52" s="23">
        <f>IF(G52="","",IF('分位数阈值'!$D$4="","",IFS(G52&gt;='分位数阈值'!$D$4,5,G52&gt;='分位数阈值'!$E$4,4,G52&gt;='分位数阈值'!$F$4,3,G52&gt;='分位数阈值'!$G$4,2,TRUE,1)))</f>
        <v/>
      </c>
      <c r="AC52" s="23">
        <f>IF(H52="","",IF('分位数阈值'!$D$5="","",IFS(H52&gt;='分位数阈值'!$D$5,5,H52&gt;='分位数阈值'!$E$5,4,H52&gt;='分位数阈值'!$F$5,3,H52&gt;='分位数阈值'!$G$5,2,TRUE,1)))</f>
        <v/>
      </c>
      <c r="AD52" s="23">
        <f>IF(I52="","",IF('分位数阈值'!$D$6="","",IFS(I52&gt;='分位数阈值'!$D$6,5,I52&gt;='分位数阈值'!$E$6,4,I52&gt;='分位数阈值'!$F$6,3,I52&gt;='分位数阈值'!$G$6,2,TRUE,1)))</f>
        <v/>
      </c>
      <c r="AE52" s="23">
        <f>IF(J52="","",IF('分位数阈值'!$D$7="","",IFS(J52&gt;='分位数阈值'!$D$7,5,J52&gt;='分位数阈值'!$E$7,4,J52&gt;='分位数阈值'!$F$7,3,J52&gt;='分位数阈值'!$G$7,2,TRUE,1)))</f>
        <v/>
      </c>
      <c r="AF52" s="23">
        <f>IF(K52="","",IF('分位数阈值'!$D$8="","",IFS(K52&gt;='分位数阈值'!$D$8,5,K52&gt;='分位数阈值'!$E$8,4,K52&gt;='分位数阈值'!$F$8,3,K52&gt;='分位数阈值'!$G$8,2,TRUE,1)))</f>
        <v/>
      </c>
      <c r="AG52" s="23">
        <f>IF(L52="","",IF('分位数阈值'!$D$9="","",IFS(L52&gt;='分位数阈值'!$D$9,5,L52&gt;='分位数阈值'!$E$9,4,L52&gt;='分位数阈值'!$F$9,3,L52&gt;='分位数阈值'!$G$9,2,TRUE,1)))</f>
        <v/>
      </c>
      <c r="AH52" s="23">
        <f>IF(M52="","",IF('分位数阈值'!$D$10="","",IFS(M52&lt;='分位数阈值'!$G$10,5,M52&lt;='分位数阈值'!$F$10,4,M52&lt;='分位数阈值'!$E$10,3,M52&lt;='分位数阈值'!$D$10,2,TRUE,1)))</f>
        <v/>
      </c>
      <c r="AI52" s="23">
        <f>IF(N52="","",IF('分位数阈值'!$D$11="","",IFS(N52&lt;='分位数阈值'!$G$11,5,N52&lt;='分位数阈值'!$F$11,4,N52&lt;='分位数阈值'!$E$11,3,N52&lt;='分位数阈值'!$D$11,2,TRUE,1)))</f>
        <v/>
      </c>
      <c r="AJ52" s="23">
        <f>IF(P52="","",IF(P52=1,1,5))</f>
        <v/>
      </c>
      <c r="AK52" s="23">
        <f>IF(Q52="","",IF(Q52=1,1,5))</f>
        <v/>
      </c>
      <c r="AL52" s="23">
        <f>IF(O52="","",IF('分位数阈值'!$D$12="","",IFS(O52&gt;='分位数阈值'!$D$12,5,O52&gt;='分位数阈值'!$E$12,4,O52&gt;='分位数阈值'!$F$12,3,O52&gt;='分位数阈值'!$G$12,2,TRUE,1)))</f>
        <v/>
      </c>
      <c r="AM52" s="23">
        <f>IF(R52="","",IF('分位数阈值'!$D$13="","",IFS(R52&lt;='分位数阈值'!$G$13,5,R52&lt;='分位数阈值'!$F$13,4,R52&lt;='分位数阈值'!$E$13,3,R52&lt;='分位数阈值'!$D$13,2,TRUE,1)))</f>
        <v/>
      </c>
      <c r="AN52" s="23">
        <f>IF(S52="","",IF('分位数阈值'!$D$14="","",IFS(S52&lt;='分位数阈值'!$G$14,5,S52&lt;='分位数阈值'!$F$14,4,S52&lt;='分位数阈值'!$E$14,3,S52&lt;='分位数阈值'!$D$14,2,TRUE,1)))</f>
        <v/>
      </c>
      <c r="AO52" s="23">
        <f>IF(T52="","",IF('分位数阈值'!$D$15="","",IFS(T52&lt;='分位数阈值'!$G$15,5,T52&lt;='分位数阈值'!$F$15,4,T52&lt;='分位数阈值'!$E$15,3,T52&lt;='分位数阈值'!$D$15,2,TRUE,1)))</f>
        <v/>
      </c>
      <c r="AP52" s="23">
        <f>IF(U52="","",IF(U52=1,5,1))</f>
        <v/>
      </c>
      <c r="AQ52" s="23">
        <f>IF(V52="","",V52)</f>
        <v/>
      </c>
      <c r="AR52" s="23">
        <f>IF(W52="","",IF('分位数阈值'!$D$16="","",IFS(W52&lt;='分位数阈值'!$G$16,5,W52&lt;='分位数阈值'!$F$16,4,W52&lt;='分位数阈值'!$E$16,3,W52&lt;='分位数阈值'!$D$16,2,TRUE,1)))</f>
        <v/>
      </c>
      <c r="AS52" s="23">
        <f>IF(X52="","",X52)</f>
        <v/>
      </c>
      <c r="AT52" s="23">
        <f>IF(Y52="","",Y52)</f>
        <v/>
      </c>
      <c r="AU52" s="10">
        <f>IF($A52="","",IF(OR(Z52=1,AR52=1,AJ52=1),"淘汰","通过"))</f>
        <v/>
      </c>
      <c r="AV52" s="10">
        <f>IF($A52="","",IF(OR(AA52=1,AR52=1,AND(AK52=1,AI52=1),AO52=1),"淘汰","通过"))</f>
        <v/>
      </c>
      <c r="AW52" s="24">
        <f>IF($A52="","",IF(AU52="淘汰","",ROUND(SUMPRODUCT(Z52:AT52,Z$2:AT$2)/5,1)))</f>
        <v/>
      </c>
      <c r="AX52" s="24">
        <f>IF($A52="","",IF(AV52="淘汰","",ROUND(SUMPRODUCT(Z52:AT52,Z$3:AT$3)/5,1)))</f>
        <v/>
      </c>
    </row>
    <row r="53" ht="15.75" customHeight="1" s="25">
      <c r="A53" s="22" t="n"/>
      <c r="B53" s="20" t="n"/>
      <c r="C53" s="22" t="n"/>
      <c r="D53" s="22" t="n"/>
      <c r="E53" s="22" t="n"/>
      <c r="F53" s="22" t="n"/>
      <c r="G53" s="21" t="n"/>
      <c r="H53" s="21" t="n"/>
      <c r="I53" s="21" t="n"/>
      <c r="J53" s="21" t="n"/>
      <c r="K53" s="21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3">
        <f>IF(E53="","",IF('分位数阈值'!$D$2="","",IFS(E53&gt;='分位数阈值'!$D$2,5,E53&gt;='分位数阈值'!$E$2,4,E53&gt;='分位数阈值'!$F$2,3,E53&gt;='分位数阈值'!$G$2,2,TRUE,1)))</f>
        <v/>
      </c>
      <c r="AA53" s="23">
        <f>IF(F53="","",IF('分位数阈值'!$D$3="","",IFS(F53&gt;='分位数阈值'!$D$3,5,F53&gt;='分位数阈值'!$E$3,4,F53&gt;='分位数阈值'!$F$3,3,F53&gt;='分位数阈值'!$G$3,2,TRUE,1)))</f>
        <v/>
      </c>
      <c r="AB53" s="23">
        <f>IF(G53="","",IF('分位数阈值'!$D$4="","",IFS(G53&gt;='分位数阈值'!$D$4,5,G53&gt;='分位数阈值'!$E$4,4,G53&gt;='分位数阈值'!$F$4,3,G53&gt;='分位数阈值'!$G$4,2,TRUE,1)))</f>
        <v/>
      </c>
      <c r="AC53" s="23">
        <f>IF(H53="","",IF('分位数阈值'!$D$5="","",IFS(H53&gt;='分位数阈值'!$D$5,5,H53&gt;='分位数阈值'!$E$5,4,H53&gt;='分位数阈值'!$F$5,3,H53&gt;='分位数阈值'!$G$5,2,TRUE,1)))</f>
        <v/>
      </c>
      <c r="AD53" s="23">
        <f>IF(I53="","",IF('分位数阈值'!$D$6="","",IFS(I53&gt;='分位数阈值'!$D$6,5,I53&gt;='分位数阈值'!$E$6,4,I53&gt;='分位数阈值'!$F$6,3,I53&gt;='分位数阈值'!$G$6,2,TRUE,1)))</f>
        <v/>
      </c>
      <c r="AE53" s="23">
        <f>IF(J53="","",IF('分位数阈值'!$D$7="","",IFS(J53&gt;='分位数阈值'!$D$7,5,J53&gt;='分位数阈值'!$E$7,4,J53&gt;='分位数阈值'!$F$7,3,J53&gt;='分位数阈值'!$G$7,2,TRUE,1)))</f>
        <v/>
      </c>
      <c r="AF53" s="23">
        <f>IF(K53="","",IF('分位数阈值'!$D$8="","",IFS(K53&gt;='分位数阈值'!$D$8,5,K53&gt;='分位数阈值'!$E$8,4,K53&gt;='分位数阈值'!$F$8,3,K53&gt;='分位数阈值'!$G$8,2,TRUE,1)))</f>
        <v/>
      </c>
      <c r="AG53" s="23">
        <f>IF(L53="","",IF('分位数阈值'!$D$9="","",IFS(L53&gt;='分位数阈值'!$D$9,5,L53&gt;='分位数阈值'!$E$9,4,L53&gt;='分位数阈值'!$F$9,3,L53&gt;='分位数阈值'!$G$9,2,TRUE,1)))</f>
        <v/>
      </c>
      <c r="AH53" s="23">
        <f>IF(M53="","",IF('分位数阈值'!$D$10="","",IFS(M53&lt;='分位数阈值'!$G$10,5,M53&lt;='分位数阈值'!$F$10,4,M53&lt;='分位数阈值'!$E$10,3,M53&lt;='分位数阈值'!$D$10,2,TRUE,1)))</f>
        <v/>
      </c>
      <c r="AI53" s="23">
        <f>IF(N53="","",IF('分位数阈值'!$D$11="","",IFS(N53&lt;='分位数阈值'!$G$11,5,N53&lt;='分位数阈值'!$F$11,4,N53&lt;='分位数阈值'!$E$11,3,N53&lt;='分位数阈值'!$D$11,2,TRUE,1)))</f>
        <v/>
      </c>
      <c r="AJ53" s="23">
        <f>IF(P53="","",IF(P53=1,1,5))</f>
        <v/>
      </c>
      <c r="AK53" s="23">
        <f>IF(Q53="","",IF(Q53=1,1,5))</f>
        <v/>
      </c>
      <c r="AL53" s="23">
        <f>IF(O53="","",IF('分位数阈值'!$D$12="","",IFS(O53&gt;='分位数阈值'!$D$12,5,O53&gt;='分位数阈值'!$E$12,4,O53&gt;='分位数阈值'!$F$12,3,O53&gt;='分位数阈值'!$G$12,2,TRUE,1)))</f>
        <v/>
      </c>
      <c r="AM53" s="23">
        <f>IF(R53="","",IF('分位数阈值'!$D$13="","",IFS(R53&lt;='分位数阈值'!$G$13,5,R53&lt;='分位数阈值'!$F$13,4,R53&lt;='分位数阈值'!$E$13,3,R53&lt;='分位数阈值'!$D$13,2,TRUE,1)))</f>
        <v/>
      </c>
      <c r="AN53" s="23">
        <f>IF(S53="","",IF('分位数阈值'!$D$14="","",IFS(S53&lt;='分位数阈值'!$G$14,5,S53&lt;='分位数阈值'!$F$14,4,S53&lt;='分位数阈值'!$E$14,3,S53&lt;='分位数阈值'!$D$14,2,TRUE,1)))</f>
        <v/>
      </c>
      <c r="AO53" s="23">
        <f>IF(T53="","",IF('分位数阈值'!$D$15="","",IFS(T53&lt;='分位数阈值'!$G$15,5,T53&lt;='分位数阈值'!$F$15,4,T53&lt;='分位数阈值'!$E$15,3,T53&lt;='分位数阈值'!$D$15,2,TRUE,1)))</f>
        <v/>
      </c>
      <c r="AP53" s="23">
        <f>IF(U53="","",IF(U53=1,5,1))</f>
        <v/>
      </c>
      <c r="AQ53" s="23">
        <f>IF(V53="","",V53)</f>
        <v/>
      </c>
      <c r="AR53" s="23">
        <f>IF(W53="","",IF('分位数阈值'!$D$16="","",IFS(W53&lt;='分位数阈值'!$G$16,5,W53&lt;='分位数阈值'!$F$16,4,W53&lt;='分位数阈值'!$E$16,3,W53&lt;='分位数阈值'!$D$16,2,TRUE,1)))</f>
        <v/>
      </c>
      <c r="AS53" s="23">
        <f>IF(X53="","",X53)</f>
        <v/>
      </c>
      <c r="AT53" s="23">
        <f>IF(Y53="","",Y53)</f>
        <v/>
      </c>
      <c r="AU53" s="10">
        <f>IF($A53="","",IF(OR(Z53=1,AR53=1,AJ53=1),"淘汰","通过"))</f>
        <v/>
      </c>
      <c r="AV53" s="10">
        <f>IF($A53="","",IF(OR(AA53=1,AR53=1,AND(AK53=1,AI53=1),AO53=1),"淘汰","通过"))</f>
        <v/>
      </c>
      <c r="AW53" s="24">
        <f>IF($A53="","",IF(AU53="淘汰","",ROUND(SUMPRODUCT(Z53:AT53,Z$2:AT$2)/5,1)))</f>
        <v/>
      </c>
      <c r="AX53" s="24">
        <f>IF($A53="","",IF(AV53="淘汰","",ROUND(SUMPRODUCT(Z53:AT53,Z$3:AT$3)/5,1)))</f>
        <v/>
      </c>
    </row>
    <row r="54" ht="15.75" customHeight="1" s="25">
      <c r="A54" s="22" t="n"/>
      <c r="B54" s="20" t="n"/>
      <c r="C54" s="22" t="n"/>
      <c r="D54" s="22" t="n"/>
      <c r="E54" s="22" t="n"/>
      <c r="F54" s="22" t="n"/>
      <c r="G54" s="21" t="n"/>
      <c r="H54" s="21" t="n"/>
      <c r="I54" s="21" t="n"/>
      <c r="J54" s="21" t="n"/>
      <c r="K54" s="21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3">
        <f>IF(E54="","",IF('分位数阈值'!$D$2="","",IFS(E54&gt;='分位数阈值'!$D$2,5,E54&gt;='分位数阈值'!$E$2,4,E54&gt;='分位数阈值'!$F$2,3,E54&gt;='分位数阈值'!$G$2,2,TRUE,1)))</f>
        <v/>
      </c>
      <c r="AA54" s="23">
        <f>IF(F54="","",IF('分位数阈值'!$D$3="","",IFS(F54&gt;='分位数阈值'!$D$3,5,F54&gt;='分位数阈值'!$E$3,4,F54&gt;='分位数阈值'!$F$3,3,F54&gt;='分位数阈值'!$G$3,2,TRUE,1)))</f>
        <v/>
      </c>
      <c r="AB54" s="23">
        <f>IF(G54="","",IF('分位数阈值'!$D$4="","",IFS(G54&gt;='分位数阈值'!$D$4,5,G54&gt;='分位数阈值'!$E$4,4,G54&gt;='分位数阈值'!$F$4,3,G54&gt;='分位数阈值'!$G$4,2,TRUE,1)))</f>
        <v/>
      </c>
      <c r="AC54" s="23">
        <f>IF(H54="","",IF('分位数阈值'!$D$5="","",IFS(H54&gt;='分位数阈值'!$D$5,5,H54&gt;='分位数阈值'!$E$5,4,H54&gt;='分位数阈值'!$F$5,3,H54&gt;='分位数阈值'!$G$5,2,TRUE,1)))</f>
        <v/>
      </c>
      <c r="AD54" s="23">
        <f>IF(I54="","",IF('分位数阈值'!$D$6="","",IFS(I54&gt;='分位数阈值'!$D$6,5,I54&gt;='分位数阈值'!$E$6,4,I54&gt;='分位数阈值'!$F$6,3,I54&gt;='分位数阈值'!$G$6,2,TRUE,1)))</f>
        <v/>
      </c>
      <c r="AE54" s="23">
        <f>IF(J54="","",IF('分位数阈值'!$D$7="","",IFS(J54&gt;='分位数阈值'!$D$7,5,J54&gt;='分位数阈值'!$E$7,4,J54&gt;='分位数阈值'!$F$7,3,J54&gt;='分位数阈值'!$G$7,2,TRUE,1)))</f>
        <v/>
      </c>
      <c r="AF54" s="23">
        <f>IF(K54="","",IF('分位数阈值'!$D$8="","",IFS(K54&gt;='分位数阈值'!$D$8,5,K54&gt;='分位数阈值'!$E$8,4,K54&gt;='分位数阈值'!$F$8,3,K54&gt;='分位数阈值'!$G$8,2,TRUE,1)))</f>
        <v/>
      </c>
      <c r="AG54" s="23">
        <f>IF(L54="","",IF('分位数阈值'!$D$9="","",IFS(L54&gt;='分位数阈值'!$D$9,5,L54&gt;='分位数阈值'!$E$9,4,L54&gt;='分位数阈值'!$F$9,3,L54&gt;='分位数阈值'!$G$9,2,TRUE,1)))</f>
        <v/>
      </c>
      <c r="AH54" s="23">
        <f>IF(M54="","",IF('分位数阈值'!$D$10="","",IFS(M54&lt;='分位数阈值'!$G$10,5,M54&lt;='分位数阈值'!$F$10,4,M54&lt;='分位数阈值'!$E$10,3,M54&lt;='分位数阈值'!$D$10,2,TRUE,1)))</f>
        <v/>
      </c>
      <c r="AI54" s="23">
        <f>IF(N54="","",IF('分位数阈值'!$D$11="","",IFS(N54&lt;='分位数阈值'!$G$11,5,N54&lt;='分位数阈值'!$F$11,4,N54&lt;='分位数阈值'!$E$11,3,N54&lt;='分位数阈值'!$D$11,2,TRUE,1)))</f>
        <v/>
      </c>
      <c r="AJ54" s="23">
        <f>IF(P54="","",IF(P54=1,1,5))</f>
        <v/>
      </c>
      <c r="AK54" s="23">
        <f>IF(Q54="","",IF(Q54=1,1,5))</f>
        <v/>
      </c>
      <c r="AL54" s="23">
        <f>IF(O54="","",IF('分位数阈值'!$D$12="","",IFS(O54&gt;='分位数阈值'!$D$12,5,O54&gt;='分位数阈值'!$E$12,4,O54&gt;='分位数阈值'!$F$12,3,O54&gt;='分位数阈值'!$G$12,2,TRUE,1)))</f>
        <v/>
      </c>
      <c r="AM54" s="23">
        <f>IF(R54="","",IF('分位数阈值'!$D$13="","",IFS(R54&lt;='分位数阈值'!$G$13,5,R54&lt;='分位数阈值'!$F$13,4,R54&lt;='分位数阈值'!$E$13,3,R54&lt;='分位数阈值'!$D$13,2,TRUE,1)))</f>
        <v/>
      </c>
      <c r="AN54" s="23">
        <f>IF(S54="","",IF('分位数阈值'!$D$14="","",IFS(S54&lt;='分位数阈值'!$G$14,5,S54&lt;='分位数阈值'!$F$14,4,S54&lt;='分位数阈值'!$E$14,3,S54&lt;='分位数阈值'!$D$14,2,TRUE,1)))</f>
        <v/>
      </c>
      <c r="AO54" s="23">
        <f>IF(T54="","",IF('分位数阈值'!$D$15="","",IFS(T54&lt;='分位数阈值'!$G$15,5,T54&lt;='分位数阈值'!$F$15,4,T54&lt;='分位数阈值'!$E$15,3,T54&lt;='分位数阈值'!$D$15,2,TRUE,1)))</f>
        <v/>
      </c>
      <c r="AP54" s="23">
        <f>IF(U54="","",IF(U54=1,5,1))</f>
        <v/>
      </c>
      <c r="AQ54" s="23">
        <f>IF(V54="","",V54)</f>
        <v/>
      </c>
      <c r="AR54" s="23">
        <f>IF(W54="","",IF('分位数阈值'!$D$16="","",IFS(W54&lt;='分位数阈值'!$G$16,5,W54&lt;='分位数阈值'!$F$16,4,W54&lt;='分位数阈值'!$E$16,3,W54&lt;='分位数阈值'!$D$16,2,TRUE,1)))</f>
        <v/>
      </c>
      <c r="AS54" s="23">
        <f>IF(X54="","",X54)</f>
        <v/>
      </c>
      <c r="AT54" s="23">
        <f>IF(Y54="","",Y54)</f>
        <v/>
      </c>
      <c r="AU54" s="10">
        <f>IF($A54="","",IF(OR(Z54=1,AR54=1,AJ54=1),"淘汰","通过"))</f>
        <v/>
      </c>
      <c r="AV54" s="10">
        <f>IF($A54="","",IF(OR(AA54=1,AR54=1,AND(AK54=1,AI54=1),AO54=1),"淘汰","通过"))</f>
        <v/>
      </c>
      <c r="AW54" s="24">
        <f>IF($A54="","",IF(AU54="淘汰","",ROUND(SUMPRODUCT(Z54:AT54,Z$2:AT$2)/5,1)))</f>
        <v/>
      </c>
      <c r="AX54" s="24">
        <f>IF($A54="","",IF(AV54="淘汰","",ROUND(SUMPRODUCT(Z54:AT54,Z$3:AT$3)/5,1)))</f>
        <v/>
      </c>
    </row>
    <row r="55" ht="15.75" customHeight="1" s="25">
      <c r="A55" s="22" t="n"/>
      <c r="B55" s="20" t="n"/>
      <c r="C55" s="22" t="n"/>
      <c r="D55" s="22" t="n"/>
      <c r="E55" s="22" t="n"/>
      <c r="F55" s="22" t="n"/>
      <c r="G55" s="21" t="n"/>
      <c r="H55" s="21" t="n"/>
      <c r="I55" s="21" t="n"/>
      <c r="J55" s="21" t="n"/>
      <c r="K55" s="21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3">
        <f>IF(E55="","",IF('分位数阈值'!$D$2="","",IFS(E55&gt;='分位数阈值'!$D$2,5,E55&gt;='分位数阈值'!$E$2,4,E55&gt;='分位数阈值'!$F$2,3,E55&gt;='分位数阈值'!$G$2,2,TRUE,1)))</f>
        <v/>
      </c>
      <c r="AA55" s="23">
        <f>IF(F55="","",IF('分位数阈值'!$D$3="","",IFS(F55&gt;='分位数阈值'!$D$3,5,F55&gt;='分位数阈值'!$E$3,4,F55&gt;='分位数阈值'!$F$3,3,F55&gt;='分位数阈值'!$G$3,2,TRUE,1)))</f>
        <v/>
      </c>
      <c r="AB55" s="23">
        <f>IF(G55="","",IF('分位数阈值'!$D$4="","",IFS(G55&gt;='分位数阈值'!$D$4,5,G55&gt;='分位数阈值'!$E$4,4,G55&gt;='分位数阈值'!$F$4,3,G55&gt;='分位数阈值'!$G$4,2,TRUE,1)))</f>
        <v/>
      </c>
      <c r="AC55" s="23">
        <f>IF(H55="","",IF('分位数阈值'!$D$5="","",IFS(H55&gt;='分位数阈值'!$D$5,5,H55&gt;='分位数阈值'!$E$5,4,H55&gt;='分位数阈值'!$F$5,3,H55&gt;='分位数阈值'!$G$5,2,TRUE,1)))</f>
        <v/>
      </c>
      <c r="AD55" s="23">
        <f>IF(I55="","",IF('分位数阈值'!$D$6="","",IFS(I55&gt;='分位数阈值'!$D$6,5,I55&gt;='分位数阈值'!$E$6,4,I55&gt;='分位数阈值'!$F$6,3,I55&gt;='分位数阈值'!$G$6,2,TRUE,1)))</f>
        <v/>
      </c>
      <c r="AE55" s="23">
        <f>IF(J55="","",IF('分位数阈值'!$D$7="","",IFS(J55&gt;='分位数阈值'!$D$7,5,J55&gt;='分位数阈值'!$E$7,4,J55&gt;='分位数阈值'!$F$7,3,J55&gt;='分位数阈值'!$G$7,2,TRUE,1)))</f>
        <v/>
      </c>
      <c r="AF55" s="23">
        <f>IF(K55="","",IF('分位数阈值'!$D$8="","",IFS(K55&gt;='分位数阈值'!$D$8,5,K55&gt;='分位数阈值'!$E$8,4,K55&gt;='分位数阈值'!$F$8,3,K55&gt;='分位数阈值'!$G$8,2,TRUE,1)))</f>
        <v/>
      </c>
      <c r="AG55" s="23">
        <f>IF(L55="","",IF('分位数阈值'!$D$9="","",IFS(L55&gt;='分位数阈值'!$D$9,5,L55&gt;='分位数阈值'!$E$9,4,L55&gt;='分位数阈值'!$F$9,3,L55&gt;='分位数阈值'!$G$9,2,TRUE,1)))</f>
        <v/>
      </c>
      <c r="AH55" s="23">
        <f>IF(M55="","",IF('分位数阈值'!$D$10="","",IFS(M55&lt;='分位数阈值'!$G$10,5,M55&lt;='分位数阈值'!$F$10,4,M55&lt;='分位数阈值'!$E$10,3,M55&lt;='分位数阈值'!$D$10,2,TRUE,1)))</f>
        <v/>
      </c>
      <c r="AI55" s="23">
        <f>IF(N55="","",IF('分位数阈值'!$D$11="","",IFS(N55&lt;='分位数阈值'!$G$11,5,N55&lt;='分位数阈值'!$F$11,4,N55&lt;='分位数阈值'!$E$11,3,N55&lt;='分位数阈值'!$D$11,2,TRUE,1)))</f>
        <v/>
      </c>
      <c r="AJ55" s="23">
        <f>IF(P55="","",IF(P55=1,1,5))</f>
        <v/>
      </c>
      <c r="AK55" s="23">
        <f>IF(Q55="","",IF(Q55=1,1,5))</f>
        <v/>
      </c>
      <c r="AL55" s="23">
        <f>IF(O55="","",IF('分位数阈值'!$D$12="","",IFS(O55&gt;='分位数阈值'!$D$12,5,O55&gt;='分位数阈值'!$E$12,4,O55&gt;='分位数阈值'!$F$12,3,O55&gt;='分位数阈值'!$G$12,2,TRUE,1)))</f>
        <v/>
      </c>
      <c r="AM55" s="23">
        <f>IF(R55="","",IF('分位数阈值'!$D$13="","",IFS(R55&lt;='分位数阈值'!$G$13,5,R55&lt;='分位数阈值'!$F$13,4,R55&lt;='分位数阈值'!$E$13,3,R55&lt;='分位数阈值'!$D$13,2,TRUE,1)))</f>
        <v/>
      </c>
      <c r="AN55" s="23">
        <f>IF(S55="","",IF('分位数阈值'!$D$14="","",IFS(S55&lt;='分位数阈值'!$G$14,5,S55&lt;='分位数阈值'!$F$14,4,S55&lt;='分位数阈值'!$E$14,3,S55&lt;='分位数阈值'!$D$14,2,TRUE,1)))</f>
        <v/>
      </c>
      <c r="AO55" s="23">
        <f>IF(T55="","",IF('分位数阈值'!$D$15="","",IFS(T55&lt;='分位数阈值'!$G$15,5,T55&lt;='分位数阈值'!$F$15,4,T55&lt;='分位数阈值'!$E$15,3,T55&lt;='分位数阈值'!$D$15,2,TRUE,1)))</f>
        <v/>
      </c>
      <c r="AP55" s="23">
        <f>IF(U55="","",IF(U55=1,5,1))</f>
        <v/>
      </c>
      <c r="AQ55" s="23">
        <f>IF(V55="","",V55)</f>
        <v/>
      </c>
      <c r="AR55" s="23">
        <f>IF(W55="","",IF('分位数阈值'!$D$16="","",IFS(W55&lt;='分位数阈值'!$G$16,5,W55&lt;='分位数阈值'!$F$16,4,W55&lt;='分位数阈值'!$E$16,3,W55&lt;='分位数阈值'!$D$16,2,TRUE,1)))</f>
        <v/>
      </c>
      <c r="AS55" s="23">
        <f>IF(X55="","",X55)</f>
        <v/>
      </c>
      <c r="AT55" s="23">
        <f>IF(Y55="","",Y55)</f>
        <v/>
      </c>
      <c r="AU55" s="10">
        <f>IF($A55="","",IF(OR(Z55=1,AR55=1,AJ55=1),"淘汰","通过"))</f>
        <v/>
      </c>
      <c r="AV55" s="10">
        <f>IF($A55="","",IF(OR(AA55=1,AR55=1,AND(AK55=1,AI55=1),AO55=1),"淘汰","通过"))</f>
        <v/>
      </c>
      <c r="AW55" s="24">
        <f>IF($A55="","",IF(AU55="淘汰","",ROUND(SUMPRODUCT(Z55:AT55,Z$2:AT$2)/5,1)))</f>
        <v/>
      </c>
      <c r="AX55" s="24">
        <f>IF($A55="","",IF(AV55="淘汰","",ROUND(SUMPRODUCT(Z55:AT55,Z$3:AT$3)/5,1)))</f>
        <v/>
      </c>
    </row>
    <row r="56" ht="15.75" customHeight="1" s="25">
      <c r="A56" s="22" t="n"/>
      <c r="B56" s="20" t="n"/>
      <c r="C56" s="22" t="n"/>
      <c r="D56" s="22" t="n"/>
      <c r="E56" s="22" t="n"/>
      <c r="F56" s="22" t="n"/>
      <c r="G56" s="21" t="n"/>
      <c r="H56" s="21" t="n"/>
      <c r="I56" s="21" t="n"/>
      <c r="J56" s="21" t="n"/>
      <c r="K56" s="21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3">
        <f>IF(E56="","",IF('分位数阈值'!$D$2="","",IFS(E56&gt;='分位数阈值'!$D$2,5,E56&gt;='分位数阈值'!$E$2,4,E56&gt;='分位数阈值'!$F$2,3,E56&gt;='分位数阈值'!$G$2,2,TRUE,1)))</f>
        <v/>
      </c>
      <c r="AA56" s="23">
        <f>IF(F56="","",IF('分位数阈值'!$D$3="","",IFS(F56&gt;='分位数阈值'!$D$3,5,F56&gt;='分位数阈值'!$E$3,4,F56&gt;='分位数阈值'!$F$3,3,F56&gt;='分位数阈值'!$G$3,2,TRUE,1)))</f>
        <v/>
      </c>
      <c r="AB56" s="23">
        <f>IF(G56="","",IF('分位数阈值'!$D$4="","",IFS(G56&gt;='分位数阈值'!$D$4,5,G56&gt;='分位数阈值'!$E$4,4,G56&gt;='分位数阈值'!$F$4,3,G56&gt;='分位数阈值'!$G$4,2,TRUE,1)))</f>
        <v/>
      </c>
      <c r="AC56" s="23">
        <f>IF(H56="","",IF('分位数阈值'!$D$5="","",IFS(H56&gt;='分位数阈值'!$D$5,5,H56&gt;='分位数阈值'!$E$5,4,H56&gt;='分位数阈值'!$F$5,3,H56&gt;='分位数阈值'!$G$5,2,TRUE,1)))</f>
        <v/>
      </c>
      <c r="AD56" s="23">
        <f>IF(I56="","",IF('分位数阈值'!$D$6="","",IFS(I56&gt;='分位数阈值'!$D$6,5,I56&gt;='分位数阈值'!$E$6,4,I56&gt;='分位数阈值'!$F$6,3,I56&gt;='分位数阈值'!$G$6,2,TRUE,1)))</f>
        <v/>
      </c>
      <c r="AE56" s="23">
        <f>IF(J56="","",IF('分位数阈值'!$D$7="","",IFS(J56&gt;='分位数阈值'!$D$7,5,J56&gt;='分位数阈值'!$E$7,4,J56&gt;='分位数阈值'!$F$7,3,J56&gt;='分位数阈值'!$G$7,2,TRUE,1)))</f>
        <v/>
      </c>
      <c r="AF56" s="23">
        <f>IF(K56="","",IF('分位数阈值'!$D$8="","",IFS(K56&gt;='分位数阈值'!$D$8,5,K56&gt;='分位数阈值'!$E$8,4,K56&gt;='分位数阈值'!$F$8,3,K56&gt;='分位数阈值'!$G$8,2,TRUE,1)))</f>
        <v/>
      </c>
      <c r="AG56" s="23">
        <f>IF(L56="","",IF('分位数阈值'!$D$9="","",IFS(L56&gt;='分位数阈值'!$D$9,5,L56&gt;='分位数阈值'!$E$9,4,L56&gt;='分位数阈值'!$F$9,3,L56&gt;='分位数阈值'!$G$9,2,TRUE,1)))</f>
        <v/>
      </c>
      <c r="AH56" s="23">
        <f>IF(M56="","",IF('分位数阈值'!$D$10="","",IFS(M56&lt;='分位数阈值'!$G$10,5,M56&lt;='分位数阈值'!$F$10,4,M56&lt;='分位数阈值'!$E$10,3,M56&lt;='分位数阈值'!$D$10,2,TRUE,1)))</f>
        <v/>
      </c>
      <c r="AI56" s="23">
        <f>IF(N56="","",IF('分位数阈值'!$D$11="","",IFS(N56&lt;='分位数阈值'!$G$11,5,N56&lt;='分位数阈值'!$F$11,4,N56&lt;='分位数阈值'!$E$11,3,N56&lt;='分位数阈值'!$D$11,2,TRUE,1)))</f>
        <v/>
      </c>
      <c r="AJ56" s="23">
        <f>IF(P56="","",IF(P56=1,1,5))</f>
        <v/>
      </c>
      <c r="AK56" s="23">
        <f>IF(Q56="","",IF(Q56=1,1,5))</f>
        <v/>
      </c>
      <c r="AL56" s="23">
        <f>IF(O56="","",IF('分位数阈值'!$D$12="","",IFS(O56&gt;='分位数阈值'!$D$12,5,O56&gt;='分位数阈值'!$E$12,4,O56&gt;='分位数阈值'!$F$12,3,O56&gt;='分位数阈值'!$G$12,2,TRUE,1)))</f>
        <v/>
      </c>
      <c r="AM56" s="23">
        <f>IF(R56="","",IF('分位数阈值'!$D$13="","",IFS(R56&lt;='分位数阈值'!$G$13,5,R56&lt;='分位数阈值'!$F$13,4,R56&lt;='分位数阈值'!$E$13,3,R56&lt;='分位数阈值'!$D$13,2,TRUE,1)))</f>
        <v/>
      </c>
      <c r="AN56" s="23">
        <f>IF(S56="","",IF('分位数阈值'!$D$14="","",IFS(S56&lt;='分位数阈值'!$G$14,5,S56&lt;='分位数阈值'!$F$14,4,S56&lt;='分位数阈值'!$E$14,3,S56&lt;='分位数阈值'!$D$14,2,TRUE,1)))</f>
        <v/>
      </c>
      <c r="AO56" s="23">
        <f>IF(T56="","",IF('分位数阈值'!$D$15="","",IFS(T56&lt;='分位数阈值'!$G$15,5,T56&lt;='分位数阈值'!$F$15,4,T56&lt;='分位数阈值'!$E$15,3,T56&lt;='分位数阈值'!$D$15,2,TRUE,1)))</f>
        <v/>
      </c>
      <c r="AP56" s="23">
        <f>IF(U56="","",IF(U56=1,5,1))</f>
        <v/>
      </c>
      <c r="AQ56" s="23">
        <f>IF(V56="","",V56)</f>
        <v/>
      </c>
      <c r="AR56" s="23">
        <f>IF(W56="","",IF('分位数阈值'!$D$16="","",IFS(W56&lt;='分位数阈值'!$G$16,5,W56&lt;='分位数阈值'!$F$16,4,W56&lt;='分位数阈值'!$E$16,3,W56&lt;='分位数阈值'!$D$16,2,TRUE,1)))</f>
        <v/>
      </c>
      <c r="AS56" s="23">
        <f>IF(X56="","",X56)</f>
        <v/>
      </c>
      <c r="AT56" s="23">
        <f>IF(Y56="","",Y56)</f>
        <v/>
      </c>
      <c r="AU56" s="10">
        <f>IF($A56="","",IF(OR(Z56=1,AR56=1,AJ56=1),"淘汰","通过"))</f>
        <v/>
      </c>
      <c r="AV56" s="10">
        <f>IF($A56="","",IF(OR(AA56=1,AR56=1,AND(AK56=1,AI56=1),AO56=1),"淘汰","通过"))</f>
        <v/>
      </c>
      <c r="AW56" s="24">
        <f>IF($A56="","",IF(AU56="淘汰","",ROUND(SUMPRODUCT(Z56:AT56,Z$2:AT$2)/5,1)))</f>
        <v/>
      </c>
      <c r="AX56" s="24">
        <f>IF($A56="","",IF(AV56="淘汰","",ROUND(SUMPRODUCT(Z56:AT56,Z$3:AT$3)/5,1)))</f>
        <v/>
      </c>
    </row>
    <row r="57" ht="15.75" customHeight="1" s="25">
      <c r="A57" s="22" t="n"/>
      <c r="B57" s="20" t="n"/>
      <c r="C57" s="22" t="n"/>
      <c r="D57" s="22" t="n"/>
      <c r="E57" s="22" t="n"/>
      <c r="F57" s="22" t="n"/>
      <c r="G57" s="21" t="n"/>
      <c r="H57" s="21" t="n"/>
      <c r="I57" s="21" t="n"/>
      <c r="J57" s="21" t="n"/>
      <c r="K57" s="21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3">
        <f>IF(E57="","",IF('分位数阈值'!$D$2="","",IFS(E57&gt;='分位数阈值'!$D$2,5,E57&gt;='分位数阈值'!$E$2,4,E57&gt;='分位数阈值'!$F$2,3,E57&gt;='分位数阈值'!$G$2,2,TRUE,1)))</f>
        <v/>
      </c>
      <c r="AA57" s="23">
        <f>IF(F57="","",IF('分位数阈值'!$D$3="","",IFS(F57&gt;='分位数阈值'!$D$3,5,F57&gt;='分位数阈值'!$E$3,4,F57&gt;='分位数阈值'!$F$3,3,F57&gt;='分位数阈值'!$G$3,2,TRUE,1)))</f>
        <v/>
      </c>
      <c r="AB57" s="23">
        <f>IF(G57="","",IF('分位数阈值'!$D$4="","",IFS(G57&gt;='分位数阈值'!$D$4,5,G57&gt;='分位数阈值'!$E$4,4,G57&gt;='分位数阈值'!$F$4,3,G57&gt;='分位数阈值'!$G$4,2,TRUE,1)))</f>
        <v/>
      </c>
      <c r="AC57" s="23">
        <f>IF(H57="","",IF('分位数阈值'!$D$5="","",IFS(H57&gt;='分位数阈值'!$D$5,5,H57&gt;='分位数阈值'!$E$5,4,H57&gt;='分位数阈值'!$F$5,3,H57&gt;='分位数阈值'!$G$5,2,TRUE,1)))</f>
        <v/>
      </c>
      <c r="AD57" s="23">
        <f>IF(I57="","",IF('分位数阈值'!$D$6="","",IFS(I57&gt;='分位数阈值'!$D$6,5,I57&gt;='分位数阈值'!$E$6,4,I57&gt;='分位数阈值'!$F$6,3,I57&gt;='分位数阈值'!$G$6,2,TRUE,1)))</f>
        <v/>
      </c>
      <c r="AE57" s="23">
        <f>IF(J57="","",IF('分位数阈值'!$D$7="","",IFS(J57&gt;='分位数阈值'!$D$7,5,J57&gt;='分位数阈值'!$E$7,4,J57&gt;='分位数阈值'!$F$7,3,J57&gt;='分位数阈值'!$G$7,2,TRUE,1)))</f>
        <v/>
      </c>
      <c r="AF57" s="23">
        <f>IF(K57="","",IF('分位数阈值'!$D$8="","",IFS(K57&gt;='分位数阈值'!$D$8,5,K57&gt;='分位数阈值'!$E$8,4,K57&gt;='分位数阈值'!$F$8,3,K57&gt;='分位数阈值'!$G$8,2,TRUE,1)))</f>
        <v/>
      </c>
      <c r="AG57" s="23">
        <f>IF(L57="","",IF('分位数阈值'!$D$9="","",IFS(L57&gt;='分位数阈值'!$D$9,5,L57&gt;='分位数阈值'!$E$9,4,L57&gt;='分位数阈值'!$F$9,3,L57&gt;='分位数阈值'!$G$9,2,TRUE,1)))</f>
        <v/>
      </c>
      <c r="AH57" s="23">
        <f>IF(M57="","",IF('分位数阈值'!$D$10="","",IFS(M57&lt;='分位数阈值'!$G$10,5,M57&lt;='分位数阈值'!$F$10,4,M57&lt;='分位数阈值'!$E$10,3,M57&lt;='分位数阈值'!$D$10,2,TRUE,1)))</f>
        <v/>
      </c>
      <c r="AI57" s="23">
        <f>IF(N57="","",IF('分位数阈值'!$D$11="","",IFS(N57&lt;='分位数阈值'!$G$11,5,N57&lt;='分位数阈值'!$F$11,4,N57&lt;='分位数阈值'!$E$11,3,N57&lt;='分位数阈值'!$D$11,2,TRUE,1)))</f>
        <v/>
      </c>
      <c r="AJ57" s="23">
        <f>IF(P57="","",IF(P57=1,1,5))</f>
        <v/>
      </c>
      <c r="AK57" s="23">
        <f>IF(Q57="","",IF(Q57=1,1,5))</f>
        <v/>
      </c>
      <c r="AL57" s="23">
        <f>IF(O57="","",IF('分位数阈值'!$D$12="","",IFS(O57&gt;='分位数阈值'!$D$12,5,O57&gt;='分位数阈值'!$E$12,4,O57&gt;='分位数阈值'!$F$12,3,O57&gt;='分位数阈值'!$G$12,2,TRUE,1)))</f>
        <v/>
      </c>
      <c r="AM57" s="23">
        <f>IF(R57="","",IF('分位数阈值'!$D$13="","",IFS(R57&lt;='分位数阈值'!$G$13,5,R57&lt;='分位数阈值'!$F$13,4,R57&lt;='分位数阈值'!$E$13,3,R57&lt;='分位数阈值'!$D$13,2,TRUE,1)))</f>
        <v/>
      </c>
      <c r="AN57" s="23">
        <f>IF(S57="","",IF('分位数阈值'!$D$14="","",IFS(S57&lt;='分位数阈值'!$G$14,5,S57&lt;='分位数阈值'!$F$14,4,S57&lt;='分位数阈值'!$E$14,3,S57&lt;='分位数阈值'!$D$14,2,TRUE,1)))</f>
        <v/>
      </c>
      <c r="AO57" s="23">
        <f>IF(T57="","",IF('分位数阈值'!$D$15="","",IFS(T57&lt;='分位数阈值'!$G$15,5,T57&lt;='分位数阈值'!$F$15,4,T57&lt;='分位数阈值'!$E$15,3,T57&lt;='分位数阈值'!$D$15,2,TRUE,1)))</f>
        <v/>
      </c>
      <c r="AP57" s="23">
        <f>IF(U57="","",IF(U57=1,5,1))</f>
        <v/>
      </c>
      <c r="AQ57" s="23">
        <f>IF(V57="","",V57)</f>
        <v/>
      </c>
      <c r="AR57" s="23">
        <f>IF(W57="","",IF('分位数阈值'!$D$16="","",IFS(W57&lt;='分位数阈值'!$G$16,5,W57&lt;='分位数阈值'!$F$16,4,W57&lt;='分位数阈值'!$E$16,3,W57&lt;='分位数阈值'!$D$16,2,TRUE,1)))</f>
        <v/>
      </c>
      <c r="AS57" s="23">
        <f>IF(X57="","",X57)</f>
        <v/>
      </c>
      <c r="AT57" s="23">
        <f>IF(Y57="","",Y57)</f>
        <v/>
      </c>
      <c r="AU57" s="10">
        <f>IF($A57="","",IF(OR(Z57=1,AR57=1,AJ57=1),"淘汰","通过"))</f>
        <v/>
      </c>
      <c r="AV57" s="10">
        <f>IF($A57="","",IF(OR(AA57=1,AR57=1,AND(AK57=1,AI57=1),AO57=1),"淘汰","通过"))</f>
        <v/>
      </c>
      <c r="AW57" s="24">
        <f>IF($A57="","",IF(AU57="淘汰","",ROUND(SUMPRODUCT(Z57:AT57,Z$2:AT$2)/5,1)))</f>
        <v/>
      </c>
      <c r="AX57" s="24">
        <f>IF($A57="","",IF(AV57="淘汰","",ROUND(SUMPRODUCT(Z57:AT57,Z$3:AT$3)/5,1)))</f>
        <v/>
      </c>
    </row>
    <row r="58" ht="15.75" customHeight="1" s="25">
      <c r="A58" s="22" t="n"/>
      <c r="B58" s="20" t="n"/>
      <c r="C58" s="22" t="n"/>
      <c r="D58" s="22" t="n"/>
      <c r="E58" s="22" t="n"/>
      <c r="F58" s="22" t="n"/>
      <c r="G58" s="21" t="n"/>
      <c r="H58" s="21" t="n"/>
      <c r="I58" s="21" t="n"/>
      <c r="J58" s="21" t="n"/>
      <c r="K58" s="21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3">
        <f>IF(E58="","",IF('分位数阈值'!$D$2="","",IFS(E58&gt;='分位数阈值'!$D$2,5,E58&gt;='分位数阈值'!$E$2,4,E58&gt;='分位数阈值'!$F$2,3,E58&gt;='分位数阈值'!$G$2,2,TRUE,1)))</f>
        <v/>
      </c>
      <c r="AA58" s="23">
        <f>IF(F58="","",IF('分位数阈值'!$D$3="","",IFS(F58&gt;='分位数阈值'!$D$3,5,F58&gt;='分位数阈值'!$E$3,4,F58&gt;='分位数阈值'!$F$3,3,F58&gt;='分位数阈值'!$G$3,2,TRUE,1)))</f>
        <v/>
      </c>
      <c r="AB58" s="23">
        <f>IF(G58="","",IF('分位数阈值'!$D$4="","",IFS(G58&gt;='分位数阈值'!$D$4,5,G58&gt;='分位数阈值'!$E$4,4,G58&gt;='分位数阈值'!$F$4,3,G58&gt;='分位数阈值'!$G$4,2,TRUE,1)))</f>
        <v/>
      </c>
      <c r="AC58" s="23">
        <f>IF(H58="","",IF('分位数阈值'!$D$5="","",IFS(H58&gt;='分位数阈值'!$D$5,5,H58&gt;='分位数阈值'!$E$5,4,H58&gt;='分位数阈值'!$F$5,3,H58&gt;='分位数阈值'!$G$5,2,TRUE,1)))</f>
        <v/>
      </c>
      <c r="AD58" s="23">
        <f>IF(I58="","",IF('分位数阈值'!$D$6="","",IFS(I58&gt;='分位数阈值'!$D$6,5,I58&gt;='分位数阈值'!$E$6,4,I58&gt;='分位数阈值'!$F$6,3,I58&gt;='分位数阈值'!$G$6,2,TRUE,1)))</f>
        <v/>
      </c>
      <c r="AE58" s="23">
        <f>IF(J58="","",IF('分位数阈值'!$D$7="","",IFS(J58&gt;='分位数阈值'!$D$7,5,J58&gt;='分位数阈值'!$E$7,4,J58&gt;='分位数阈值'!$F$7,3,J58&gt;='分位数阈值'!$G$7,2,TRUE,1)))</f>
        <v/>
      </c>
      <c r="AF58" s="23">
        <f>IF(K58="","",IF('分位数阈值'!$D$8="","",IFS(K58&gt;='分位数阈值'!$D$8,5,K58&gt;='分位数阈值'!$E$8,4,K58&gt;='分位数阈值'!$F$8,3,K58&gt;='分位数阈值'!$G$8,2,TRUE,1)))</f>
        <v/>
      </c>
      <c r="AG58" s="23">
        <f>IF(L58="","",IF('分位数阈值'!$D$9="","",IFS(L58&gt;='分位数阈值'!$D$9,5,L58&gt;='分位数阈值'!$E$9,4,L58&gt;='分位数阈值'!$F$9,3,L58&gt;='分位数阈值'!$G$9,2,TRUE,1)))</f>
        <v/>
      </c>
      <c r="AH58" s="23">
        <f>IF(M58="","",IF('分位数阈值'!$D$10="","",IFS(M58&lt;='分位数阈值'!$G$10,5,M58&lt;='分位数阈值'!$F$10,4,M58&lt;='分位数阈值'!$E$10,3,M58&lt;='分位数阈值'!$D$10,2,TRUE,1)))</f>
        <v/>
      </c>
      <c r="AI58" s="23">
        <f>IF(N58="","",IF('分位数阈值'!$D$11="","",IFS(N58&lt;='分位数阈值'!$G$11,5,N58&lt;='分位数阈值'!$F$11,4,N58&lt;='分位数阈值'!$E$11,3,N58&lt;='分位数阈值'!$D$11,2,TRUE,1)))</f>
        <v/>
      </c>
      <c r="AJ58" s="23">
        <f>IF(P58="","",IF(P58=1,1,5))</f>
        <v/>
      </c>
      <c r="AK58" s="23">
        <f>IF(Q58="","",IF(Q58=1,1,5))</f>
        <v/>
      </c>
      <c r="AL58" s="23">
        <f>IF(O58="","",IF('分位数阈值'!$D$12="","",IFS(O58&gt;='分位数阈值'!$D$12,5,O58&gt;='分位数阈值'!$E$12,4,O58&gt;='分位数阈值'!$F$12,3,O58&gt;='分位数阈值'!$G$12,2,TRUE,1)))</f>
        <v/>
      </c>
      <c r="AM58" s="23">
        <f>IF(R58="","",IF('分位数阈值'!$D$13="","",IFS(R58&lt;='分位数阈值'!$G$13,5,R58&lt;='分位数阈值'!$F$13,4,R58&lt;='分位数阈值'!$E$13,3,R58&lt;='分位数阈值'!$D$13,2,TRUE,1)))</f>
        <v/>
      </c>
      <c r="AN58" s="23">
        <f>IF(S58="","",IF('分位数阈值'!$D$14="","",IFS(S58&lt;='分位数阈值'!$G$14,5,S58&lt;='分位数阈值'!$F$14,4,S58&lt;='分位数阈值'!$E$14,3,S58&lt;='分位数阈值'!$D$14,2,TRUE,1)))</f>
        <v/>
      </c>
      <c r="AO58" s="23">
        <f>IF(T58="","",IF('分位数阈值'!$D$15="","",IFS(T58&lt;='分位数阈值'!$G$15,5,T58&lt;='分位数阈值'!$F$15,4,T58&lt;='分位数阈值'!$E$15,3,T58&lt;='分位数阈值'!$D$15,2,TRUE,1)))</f>
        <v/>
      </c>
      <c r="AP58" s="23">
        <f>IF(U58="","",IF(U58=1,5,1))</f>
        <v/>
      </c>
      <c r="AQ58" s="23">
        <f>IF(V58="","",V58)</f>
        <v/>
      </c>
      <c r="AR58" s="23">
        <f>IF(W58="","",IF('分位数阈值'!$D$16="","",IFS(W58&lt;='分位数阈值'!$G$16,5,W58&lt;='分位数阈值'!$F$16,4,W58&lt;='分位数阈值'!$E$16,3,W58&lt;='分位数阈值'!$D$16,2,TRUE,1)))</f>
        <v/>
      </c>
      <c r="AS58" s="23">
        <f>IF(X58="","",X58)</f>
        <v/>
      </c>
      <c r="AT58" s="23">
        <f>IF(Y58="","",Y58)</f>
        <v/>
      </c>
      <c r="AU58" s="10">
        <f>IF($A58="","",IF(OR(Z58=1,AR58=1,AJ58=1),"淘汰","通过"))</f>
        <v/>
      </c>
      <c r="AV58" s="10">
        <f>IF($A58="","",IF(OR(AA58=1,AR58=1,AND(AK58=1,AI58=1),AO58=1),"淘汰","通过"))</f>
        <v/>
      </c>
      <c r="AW58" s="24">
        <f>IF($A58="","",IF(AU58="淘汰","",ROUND(SUMPRODUCT(Z58:AT58,Z$2:AT$2)/5,1)))</f>
        <v/>
      </c>
      <c r="AX58" s="24">
        <f>IF($A58="","",IF(AV58="淘汰","",ROUND(SUMPRODUCT(Z58:AT58,Z$3:AT$3)/5,1)))</f>
        <v/>
      </c>
    </row>
    <row r="59" ht="15.75" customHeight="1" s="25">
      <c r="A59" s="22" t="n"/>
      <c r="B59" s="20" t="n"/>
      <c r="C59" s="22" t="n"/>
      <c r="D59" s="22" t="n"/>
      <c r="E59" s="22" t="n"/>
      <c r="F59" s="22" t="n"/>
      <c r="G59" s="21" t="n"/>
      <c r="H59" s="21" t="n"/>
      <c r="I59" s="21" t="n"/>
      <c r="J59" s="21" t="n"/>
      <c r="K59" s="21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3">
        <f>IF(E59="","",IF('分位数阈值'!$D$2="","",IFS(E59&gt;='分位数阈值'!$D$2,5,E59&gt;='分位数阈值'!$E$2,4,E59&gt;='分位数阈值'!$F$2,3,E59&gt;='分位数阈值'!$G$2,2,TRUE,1)))</f>
        <v/>
      </c>
      <c r="AA59" s="23">
        <f>IF(F59="","",IF('分位数阈值'!$D$3="","",IFS(F59&gt;='分位数阈值'!$D$3,5,F59&gt;='分位数阈值'!$E$3,4,F59&gt;='分位数阈值'!$F$3,3,F59&gt;='分位数阈值'!$G$3,2,TRUE,1)))</f>
        <v/>
      </c>
      <c r="AB59" s="23">
        <f>IF(G59="","",IF('分位数阈值'!$D$4="","",IFS(G59&gt;='分位数阈值'!$D$4,5,G59&gt;='分位数阈值'!$E$4,4,G59&gt;='分位数阈值'!$F$4,3,G59&gt;='分位数阈值'!$G$4,2,TRUE,1)))</f>
        <v/>
      </c>
      <c r="AC59" s="23">
        <f>IF(H59="","",IF('分位数阈值'!$D$5="","",IFS(H59&gt;='分位数阈值'!$D$5,5,H59&gt;='分位数阈值'!$E$5,4,H59&gt;='分位数阈值'!$F$5,3,H59&gt;='分位数阈值'!$G$5,2,TRUE,1)))</f>
        <v/>
      </c>
      <c r="AD59" s="23">
        <f>IF(I59="","",IF('分位数阈值'!$D$6="","",IFS(I59&gt;='分位数阈值'!$D$6,5,I59&gt;='分位数阈值'!$E$6,4,I59&gt;='分位数阈值'!$F$6,3,I59&gt;='分位数阈值'!$G$6,2,TRUE,1)))</f>
        <v/>
      </c>
      <c r="AE59" s="23">
        <f>IF(J59="","",IF('分位数阈值'!$D$7="","",IFS(J59&gt;='分位数阈值'!$D$7,5,J59&gt;='分位数阈值'!$E$7,4,J59&gt;='分位数阈值'!$F$7,3,J59&gt;='分位数阈值'!$G$7,2,TRUE,1)))</f>
        <v/>
      </c>
      <c r="AF59" s="23">
        <f>IF(K59="","",IF('分位数阈值'!$D$8="","",IFS(K59&gt;='分位数阈值'!$D$8,5,K59&gt;='分位数阈值'!$E$8,4,K59&gt;='分位数阈值'!$F$8,3,K59&gt;='分位数阈值'!$G$8,2,TRUE,1)))</f>
        <v/>
      </c>
      <c r="AG59" s="23">
        <f>IF(L59="","",IF('分位数阈值'!$D$9="","",IFS(L59&gt;='分位数阈值'!$D$9,5,L59&gt;='分位数阈值'!$E$9,4,L59&gt;='分位数阈值'!$F$9,3,L59&gt;='分位数阈值'!$G$9,2,TRUE,1)))</f>
        <v/>
      </c>
      <c r="AH59" s="23">
        <f>IF(M59="","",IF('分位数阈值'!$D$10="","",IFS(M59&lt;='分位数阈值'!$G$10,5,M59&lt;='分位数阈值'!$F$10,4,M59&lt;='分位数阈值'!$E$10,3,M59&lt;='分位数阈值'!$D$10,2,TRUE,1)))</f>
        <v/>
      </c>
      <c r="AI59" s="23">
        <f>IF(N59="","",IF('分位数阈值'!$D$11="","",IFS(N59&lt;='分位数阈值'!$G$11,5,N59&lt;='分位数阈值'!$F$11,4,N59&lt;='分位数阈值'!$E$11,3,N59&lt;='分位数阈值'!$D$11,2,TRUE,1)))</f>
        <v/>
      </c>
      <c r="AJ59" s="23">
        <f>IF(P59="","",IF(P59=1,1,5))</f>
        <v/>
      </c>
      <c r="AK59" s="23">
        <f>IF(Q59="","",IF(Q59=1,1,5))</f>
        <v/>
      </c>
      <c r="AL59" s="23">
        <f>IF(O59="","",IF('分位数阈值'!$D$12="","",IFS(O59&gt;='分位数阈值'!$D$12,5,O59&gt;='分位数阈值'!$E$12,4,O59&gt;='分位数阈值'!$F$12,3,O59&gt;='分位数阈值'!$G$12,2,TRUE,1)))</f>
        <v/>
      </c>
      <c r="AM59" s="23">
        <f>IF(R59="","",IF('分位数阈值'!$D$13="","",IFS(R59&lt;='分位数阈值'!$G$13,5,R59&lt;='分位数阈值'!$F$13,4,R59&lt;='分位数阈值'!$E$13,3,R59&lt;='分位数阈值'!$D$13,2,TRUE,1)))</f>
        <v/>
      </c>
      <c r="AN59" s="23">
        <f>IF(S59="","",IF('分位数阈值'!$D$14="","",IFS(S59&lt;='分位数阈值'!$G$14,5,S59&lt;='分位数阈值'!$F$14,4,S59&lt;='分位数阈值'!$E$14,3,S59&lt;='分位数阈值'!$D$14,2,TRUE,1)))</f>
        <v/>
      </c>
      <c r="AO59" s="23">
        <f>IF(T59="","",IF('分位数阈值'!$D$15="","",IFS(T59&lt;='分位数阈值'!$G$15,5,T59&lt;='分位数阈值'!$F$15,4,T59&lt;='分位数阈值'!$E$15,3,T59&lt;='分位数阈值'!$D$15,2,TRUE,1)))</f>
        <v/>
      </c>
      <c r="AP59" s="23">
        <f>IF(U59="","",IF(U59=1,5,1))</f>
        <v/>
      </c>
      <c r="AQ59" s="23">
        <f>IF(V59="","",V59)</f>
        <v/>
      </c>
      <c r="AR59" s="23">
        <f>IF(W59="","",IF('分位数阈值'!$D$16="","",IFS(W59&lt;='分位数阈值'!$G$16,5,W59&lt;='分位数阈值'!$F$16,4,W59&lt;='分位数阈值'!$E$16,3,W59&lt;='分位数阈值'!$D$16,2,TRUE,1)))</f>
        <v/>
      </c>
      <c r="AS59" s="23">
        <f>IF(X59="","",X59)</f>
        <v/>
      </c>
      <c r="AT59" s="23">
        <f>IF(Y59="","",Y59)</f>
        <v/>
      </c>
      <c r="AU59" s="10">
        <f>IF($A59="","",IF(OR(Z59=1,AR59=1,AJ59=1),"淘汰","通过"))</f>
        <v/>
      </c>
      <c r="AV59" s="10">
        <f>IF($A59="","",IF(OR(AA59=1,AR59=1,AND(AK59=1,AI59=1),AO59=1),"淘汰","通过"))</f>
        <v/>
      </c>
      <c r="AW59" s="24">
        <f>IF($A59="","",IF(AU59="淘汰","",ROUND(SUMPRODUCT(Z59:AT59,Z$2:AT$2)/5,1)))</f>
        <v/>
      </c>
      <c r="AX59" s="24">
        <f>IF($A59="","",IF(AV59="淘汰","",ROUND(SUMPRODUCT(Z59:AT59,Z$3:AT$3)/5,1)))</f>
        <v/>
      </c>
    </row>
    <row r="60" ht="15.75" customHeight="1" s="25">
      <c r="A60" s="22" t="n"/>
      <c r="B60" s="20" t="n"/>
      <c r="C60" s="22" t="n"/>
      <c r="D60" s="22" t="n"/>
      <c r="E60" s="22" t="n"/>
      <c r="F60" s="22" t="n"/>
      <c r="G60" s="21" t="n"/>
      <c r="H60" s="21" t="n"/>
      <c r="I60" s="21" t="n"/>
      <c r="J60" s="21" t="n"/>
      <c r="K60" s="21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3">
        <f>IF(E60="","",IF('分位数阈值'!$D$2="","",IFS(E60&gt;='分位数阈值'!$D$2,5,E60&gt;='分位数阈值'!$E$2,4,E60&gt;='分位数阈值'!$F$2,3,E60&gt;='分位数阈值'!$G$2,2,TRUE,1)))</f>
        <v/>
      </c>
      <c r="AA60" s="23">
        <f>IF(F60="","",IF('分位数阈值'!$D$3="","",IFS(F60&gt;='分位数阈值'!$D$3,5,F60&gt;='分位数阈值'!$E$3,4,F60&gt;='分位数阈值'!$F$3,3,F60&gt;='分位数阈值'!$G$3,2,TRUE,1)))</f>
        <v/>
      </c>
      <c r="AB60" s="23">
        <f>IF(G60="","",IF('分位数阈值'!$D$4="","",IFS(G60&gt;='分位数阈值'!$D$4,5,G60&gt;='分位数阈值'!$E$4,4,G60&gt;='分位数阈值'!$F$4,3,G60&gt;='分位数阈值'!$G$4,2,TRUE,1)))</f>
        <v/>
      </c>
      <c r="AC60" s="23">
        <f>IF(H60="","",IF('分位数阈值'!$D$5="","",IFS(H60&gt;='分位数阈值'!$D$5,5,H60&gt;='分位数阈值'!$E$5,4,H60&gt;='分位数阈值'!$F$5,3,H60&gt;='分位数阈值'!$G$5,2,TRUE,1)))</f>
        <v/>
      </c>
      <c r="AD60" s="23">
        <f>IF(I60="","",IF('分位数阈值'!$D$6="","",IFS(I60&gt;='分位数阈值'!$D$6,5,I60&gt;='分位数阈值'!$E$6,4,I60&gt;='分位数阈值'!$F$6,3,I60&gt;='分位数阈值'!$G$6,2,TRUE,1)))</f>
        <v/>
      </c>
      <c r="AE60" s="23">
        <f>IF(J60="","",IF('分位数阈值'!$D$7="","",IFS(J60&gt;='分位数阈值'!$D$7,5,J60&gt;='分位数阈值'!$E$7,4,J60&gt;='分位数阈值'!$F$7,3,J60&gt;='分位数阈值'!$G$7,2,TRUE,1)))</f>
        <v/>
      </c>
      <c r="AF60" s="23">
        <f>IF(K60="","",IF('分位数阈值'!$D$8="","",IFS(K60&gt;='分位数阈值'!$D$8,5,K60&gt;='分位数阈值'!$E$8,4,K60&gt;='分位数阈值'!$F$8,3,K60&gt;='分位数阈值'!$G$8,2,TRUE,1)))</f>
        <v/>
      </c>
      <c r="AG60" s="23">
        <f>IF(L60="","",IF('分位数阈值'!$D$9="","",IFS(L60&gt;='分位数阈值'!$D$9,5,L60&gt;='分位数阈值'!$E$9,4,L60&gt;='分位数阈值'!$F$9,3,L60&gt;='分位数阈值'!$G$9,2,TRUE,1)))</f>
        <v/>
      </c>
      <c r="AH60" s="23">
        <f>IF(M60="","",IF('分位数阈值'!$D$10="","",IFS(M60&lt;='分位数阈值'!$G$10,5,M60&lt;='分位数阈值'!$F$10,4,M60&lt;='分位数阈值'!$E$10,3,M60&lt;='分位数阈值'!$D$10,2,TRUE,1)))</f>
        <v/>
      </c>
      <c r="AI60" s="23">
        <f>IF(N60="","",IF('分位数阈值'!$D$11="","",IFS(N60&lt;='分位数阈值'!$G$11,5,N60&lt;='分位数阈值'!$F$11,4,N60&lt;='分位数阈值'!$E$11,3,N60&lt;='分位数阈值'!$D$11,2,TRUE,1)))</f>
        <v/>
      </c>
      <c r="AJ60" s="23">
        <f>IF(P60="","",IF(P60=1,1,5))</f>
        <v/>
      </c>
      <c r="AK60" s="23">
        <f>IF(Q60="","",IF(Q60=1,1,5))</f>
        <v/>
      </c>
      <c r="AL60" s="23">
        <f>IF(O60="","",IF('分位数阈值'!$D$12="","",IFS(O60&gt;='分位数阈值'!$D$12,5,O60&gt;='分位数阈值'!$E$12,4,O60&gt;='分位数阈值'!$F$12,3,O60&gt;='分位数阈值'!$G$12,2,TRUE,1)))</f>
        <v/>
      </c>
      <c r="AM60" s="23">
        <f>IF(R60="","",IF('分位数阈值'!$D$13="","",IFS(R60&lt;='分位数阈值'!$G$13,5,R60&lt;='分位数阈值'!$F$13,4,R60&lt;='分位数阈值'!$E$13,3,R60&lt;='分位数阈值'!$D$13,2,TRUE,1)))</f>
        <v/>
      </c>
      <c r="AN60" s="23">
        <f>IF(S60="","",IF('分位数阈值'!$D$14="","",IFS(S60&lt;='分位数阈值'!$G$14,5,S60&lt;='分位数阈值'!$F$14,4,S60&lt;='分位数阈值'!$E$14,3,S60&lt;='分位数阈值'!$D$14,2,TRUE,1)))</f>
        <v/>
      </c>
      <c r="AO60" s="23">
        <f>IF(T60="","",IF('分位数阈值'!$D$15="","",IFS(T60&lt;='分位数阈值'!$G$15,5,T60&lt;='分位数阈值'!$F$15,4,T60&lt;='分位数阈值'!$E$15,3,T60&lt;='分位数阈值'!$D$15,2,TRUE,1)))</f>
        <v/>
      </c>
      <c r="AP60" s="23">
        <f>IF(U60="","",IF(U60=1,5,1))</f>
        <v/>
      </c>
      <c r="AQ60" s="23">
        <f>IF(V60="","",V60)</f>
        <v/>
      </c>
      <c r="AR60" s="23">
        <f>IF(W60="","",IF('分位数阈值'!$D$16="","",IFS(W60&lt;='分位数阈值'!$G$16,5,W60&lt;='分位数阈值'!$F$16,4,W60&lt;='分位数阈值'!$E$16,3,W60&lt;='分位数阈值'!$D$16,2,TRUE,1)))</f>
        <v/>
      </c>
      <c r="AS60" s="23">
        <f>IF(X60="","",X60)</f>
        <v/>
      </c>
      <c r="AT60" s="23">
        <f>IF(Y60="","",Y60)</f>
        <v/>
      </c>
      <c r="AU60" s="10">
        <f>IF($A60="","",IF(OR(Z60=1,AR60=1,AJ60=1),"淘汰","通过"))</f>
        <v/>
      </c>
      <c r="AV60" s="10">
        <f>IF($A60="","",IF(OR(AA60=1,AR60=1,AND(AK60=1,AI60=1),AO60=1),"淘汰","通过"))</f>
        <v/>
      </c>
      <c r="AW60" s="24">
        <f>IF($A60="","",IF(AU60="淘汰","",ROUND(SUMPRODUCT(Z60:AT60,Z$2:AT$2)/5,1)))</f>
        <v/>
      </c>
      <c r="AX60" s="24">
        <f>IF($A60="","",IF(AV60="淘汰","",ROUND(SUMPRODUCT(Z60:AT60,Z$3:AT$3)/5,1)))</f>
        <v/>
      </c>
    </row>
    <row r="61" ht="15.75" customHeight="1" s="25">
      <c r="A61" s="22" t="n"/>
      <c r="B61" s="20" t="n"/>
      <c r="C61" s="22" t="n"/>
      <c r="D61" s="22" t="n"/>
      <c r="E61" s="22" t="n"/>
      <c r="F61" s="22" t="n"/>
      <c r="G61" s="21" t="n"/>
      <c r="H61" s="21" t="n"/>
      <c r="I61" s="21" t="n"/>
      <c r="J61" s="21" t="n"/>
      <c r="K61" s="21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3">
        <f>IF(E61="","",IF('分位数阈值'!$D$2="","",IFS(E61&gt;='分位数阈值'!$D$2,5,E61&gt;='分位数阈值'!$E$2,4,E61&gt;='分位数阈值'!$F$2,3,E61&gt;='分位数阈值'!$G$2,2,TRUE,1)))</f>
        <v/>
      </c>
      <c r="AA61" s="23">
        <f>IF(F61="","",IF('分位数阈值'!$D$3="","",IFS(F61&gt;='分位数阈值'!$D$3,5,F61&gt;='分位数阈值'!$E$3,4,F61&gt;='分位数阈值'!$F$3,3,F61&gt;='分位数阈值'!$G$3,2,TRUE,1)))</f>
        <v/>
      </c>
      <c r="AB61" s="23">
        <f>IF(G61="","",IF('分位数阈值'!$D$4="","",IFS(G61&gt;='分位数阈值'!$D$4,5,G61&gt;='分位数阈值'!$E$4,4,G61&gt;='分位数阈值'!$F$4,3,G61&gt;='分位数阈值'!$G$4,2,TRUE,1)))</f>
        <v/>
      </c>
      <c r="AC61" s="23">
        <f>IF(H61="","",IF('分位数阈值'!$D$5="","",IFS(H61&gt;='分位数阈值'!$D$5,5,H61&gt;='分位数阈值'!$E$5,4,H61&gt;='分位数阈值'!$F$5,3,H61&gt;='分位数阈值'!$G$5,2,TRUE,1)))</f>
        <v/>
      </c>
      <c r="AD61" s="23">
        <f>IF(I61="","",IF('分位数阈值'!$D$6="","",IFS(I61&gt;='分位数阈值'!$D$6,5,I61&gt;='分位数阈值'!$E$6,4,I61&gt;='分位数阈值'!$F$6,3,I61&gt;='分位数阈值'!$G$6,2,TRUE,1)))</f>
        <v/>
      </c>
      <c r="AE61" s="23">
        <f>IF(J61="","",IF('分位数阈值'!$D$7="","",IFS(J61&gt;='分位数阈值'!$D$7,5,J61&gt;='分位数阈值'!$E$7,4,J61&gt;='分位数阈值'!$F$7,3,J61&gt;='分位数阈值'!$G$7,2,TRUE,1)))</f>
        <v/>
      </c>
      <c r="AF61" s="23">
        <f>IF(K61="","",IF('分位数阈值'!$D$8="","",IFS(K61&gt;='分位数阈值'!$D$8,5,K61&gt;='分位数阈值'!$E$8,4,K61&gt;='分位数阈值'!$F$8,3,K61&gt;='分位数阈值'!$G$8,2,TRUE,1)))</f>
        <v/>
      </c>
      <c r="AG61" s="23">
        <f>IF(L61="","",IF('分位数阈值'!$D$9="","",IFS(L61&gt;='分位数阈值'!$D$9,5,L61&gt;='分位数阈值'!$E$9,4,L61&gt;='分位数阈值'!$F$9,3,L61&gt;='分位数阈值'!$G$9,2,TRUE,1)))</f>
        <v/>
      </c>
      <c r="AH61" s="23">
        <f>IF(M61="","",IF('分位数阈值'!$D$10="","",IFS(M61&lt;='分位数阈值'!$G$10,5,M61&lt;='分位数阈值'!$F$10,4,M61&lt;='分位数阈值'!$E$10,3,M61&lt;='分位数阈值'!$D$10,2,TRUE,1)))</f>
        <v/>
      </c>
      <c r="AI61" s="23">
        <f>IF(N61="","",IF('分位数阈值'!$D$11="","",IFS(N61&lt;='分位数阈值'!$G$11,5,N61&lt;='分位数阈值'!$F$11,4,N61&lt;='分位数阈值'!$E$11,3,N61&lt;='分位数阈值'!$D$11,2,TRUE,1)))</f>
        <v/>
      </c>
      <c r="AJ61" s="23">
        <f>IF(P61="","",IF(P61=1,1,5))</f>
        <v/>
      </c>
      <c r="AK61" s="23">
        <f>IF(Q61="","",IF(Q61=1,1,5))</f>
        <v/>
      </c>
      <c r="AL61" s="23">
        <f>IF(O61="","",IF('分位数阈值'!$D$12="","",IFS(O61&gt;='分位数阈值'!$D$12,5,O61&gt;='分位数阈值'!$E$12,4,O61&gt;='分位数阈值'!$F$12,3,O61&gt;='分位数阈值'!$G$12,2,TRUE,1)))</f>
        <v/>
      </c>
      <c r="AM61" s="23">
        <f>IF(R61="","",IF('分位数阈值'!$D$13="","",IFS(R61&lt;='分位数阈值'!$G$13,5,R61&lt;='分位数阈值'!$F$13,4,R61&lt;='分位数阈值'!$E$13,3,R61&lt;='分位数阈值'!$D$13,2,TRUE,1)))</f>
        <v/>
      </c>
      <c r="AN61" s="23">
        <f>IF(S61="","",IF('分位数阈值'!$D$14="","",IFS(S61&lt;='分位数阈值'!$G$14,5,S61&lt;='分位数阈值'!$F$14,4,S61&lt;='分位数阈值'!$E$14,3,S61&lt;='分位数阈值'!$D$14,2,TRUE,1)))</f>
        <v/>
      </c>
      <c r="AO61" s="23">
        <f>IF(T61="","",IF('分位数阈值'!$D$15="","",IFS(T61&lt;='分位数阈值'!$G$15,5,T61&lt;='分位数阈值'!$F$15,4,T61&lt;='分位数阈值'!$E$15,3,T61&lt;='分位数阈值'!$D$15,2,TRUE,1)))</f>
        <v/>
      </c>
      <c r="AP61" s="23">
        <f>IF(U61="","",IF(U61=1,5,1))</f>
        <v/>
      </c>
      <c r="AQ61" s="23">
        <f>IF(V61="","",V61)</f>
        <v/>
      </c>
      <c r="AR61" s="23">
        <f>IF(W61="","",IF('分位数阈值'!$D$16="","",IFS(W61&lt;='分位数阈值'!$G$16,5,W61&lt;='分位数阈值'!$F$16,4,W61&lt;='分位数阈值'!$E$16,3,W61&lt;='分位数阈值'!$D$16,2,TRUE,1)))</f>
        <v/>
      </c>
      <c r="AS61" s="23">
        <f>IF(X61="","",X61)</f>
        <v/>
      </c>
      <c r="AT61" s="23">
        <f>IF(Y61="","",Y61)</f>
        <v/>
      </c>
      <c r="AU61" s="10">
        <f>IF($A61="","",IF(OR(Z61=1,AR61=1,AJ61=1),"淘汰","通过"))</f>
        <v/>
      </c>
      <c r="AV61" s="10">
        <f>IF($A61="","",IF(OR(AA61=1,AR61=1,AND(AK61=1,AI61=1),AO61=1),"淘汰","通过"))</f>
        <v/>
      </c>
      <c r="AW61" s="24">
        <f>IF($A61="","",IF(AU61="淘汰","",ROUND(SUMPRODUCT(Z61:AT61,Z$2:AT$2)/5,1)))</f>
        <v/>
      </c>
      <c r="AX61" s="24">
        <f>IF($A61="","",IF(AV61="淘汰","",ROUND(SUMPRODUCT(Z61:AT61,Z$3:AT$3)/5,1)))</f>
        <v/>
      </c>
    </row>
    <row r="62" ht="15.75" customHeight="1" s="25">
      <c r="A62" s="22" t="n"/>
      <c r="B62" s="20" t="n"/>
      <c r="C62" s="22" t="n"/>
      <c r="D62" s="22" t="n"/>
      <c r="E62" s="22" t="n"/>
      <c r="F62" s="22" t="n"/>
      <c r="G62" s="21" t="n"/>
      <c r="H62" s="21" t="n"/>
      <c r="I62" s="21" t="n"/>
      <c r="J62" s="21" t="n"/>
      <c r="K62" s="21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3">
        <f>IF(E62="","",IF('分位数阈值'!$D$2="","",IFS(E62&gt;='分位数阈值'!$D$2,5,E62&gt;='分位数阈值'!$E$2,4,E62&gt;='分位数阈值'!$F$2,3,E62&gt;='分位数阈值'!$G$2,2,TRUE,1)))</f>
        <v/>
      </c>
      <c r="AA62" s="23">
        <f>IF(F62="","",IF('分位数阈值'!$D$3="","",IFS(F62&gt;='分位数阈值'!$D$3,5,F62&gt;='分位数阈值'!$E$3,4,F62&gt;='分位数阈值'!$F$3,3,F62&gt;='分位数阈值'!$G$3,2,TRUE,1)))</f>
        <v/>
      </c>
      <c r="AB62" s="23">
        <f>IF(G62="","",IF('分位数阈值'!$D$4="","",IFS(G62&gt;='分位数阈值'!$D$4,5,G62&gt;='分位数阈值'!$E$4,4,G62&gt;='分位数阈值'!$F$4,3,G62&gt;='分位数阈值'!$G$4,2,TRUE,1)))</f>
        <v/>
      </c>
      <c r="AC62" s="23">
        <f>IF(H62="","",IF('分位数阈值'!$D$5="","",IFS(H62&gt;='分位数阈值'!$D$5,5,H62&gt;='分位数阈值'!$E$5,4,H62&gt;='分位数阈值'!$F$5,3,H62&gt;='分位数阈值'!$G$5,2,TRUE,1)))</f>
        <v/>
      </c>
      <c r="AD62" s="23">
        <f>IF(I62="","",IF('分位数阈值'!$D$6="","",IFS(I62&gt;='分位数阈值'!$D$6,5,I62&gt;='分位数阈值'!$E$6,4,I62&gt;='分位数阈值'!$F$6,3,I62&gt;='分位数阈值'!$G$6,2,TRUE,1)))</f>
        <v/>
      </c>
      <c r="AE62" s="23">
        <f>IF(J62="","",IF('分位数阈值'!$D$7="","",IFS(J62&gt;='分位数阈值'!$D$7,5,J62&gt;='分位数阈值'!$E$7,4,J62&gt;='分位数阈值'!$F$7,3,J62&gt;='分位数阈值'!$G$7,2,TRUE,1)))</f>
        <v/>
      </c>
      <c r="AF62" s="23">
        <f>IF(K62="","",IF('分位数阈值'!$D$8="","",IFS(K62&gt;='分位数阈值'!$D$8,5,K62&gt;='分位数阈值'!$E$8,4,K62&gt;='分位数阈值'!$F$8,3,K62&gt;='分位数阈值'!$G$8,2,TRUE,1)))</f>
        <v/>
      </c>
      <c r="AG62" s="23">
        <f>IF(L62="","",IF('分位数阈值'!$D$9="","",IFS(L62&gt;='分位数阈值'!$D$9,5,L62&gt;='分位数阈值'!$E$9,4,L62&gt;='分位数阈值'!$F$9,3,L62&gt;='分位数阈值'!$G$9,2,TRUE,1)))</f>
        <v/>
      </c>
      <c r="AH62" s="23">
        <f>IF(M62="","",IF('分位数阈值'!$D$10="","",IFS(M62&lt;='分位数阈值'!$G$10,5,M62&lt;='分位数阈值'!$F$10,4,M62&lt;='分位数阈值'!$E$10,3,M62&lt;='分位数阈值'!$D$10,2,TRUE,1)))</f>
        <v/>
      </c>
      <c r="AI62" s="23">
        <f>IF(N62="","",IF('分位数阈值'!$D$11="","",IFS(N62&lt;='分位数阈值'!$G$11,5,N62&lt;='分位数阈值'!$F$11,4,N62&lt;='分位数阈值'!$E$11,3,N62&lt;='分位数阈值'!$D$11,2,TRUE,1)))</f>
        <v/>
      </c>
      <c r="AJ62" s="23">
        <f>IF(P62="","",IF(P62=1,1,5))</f>
        <v/>
      </c>
      <c r="AK62" s="23">
        <f>IF(Q62="","",IF(Q62=1,1,5))</f>
        <v/>
      </c>
      <c r="AL62" s="23">
        <f>IF(O62="","",IF('分位数阈值'!$D$12="","",IFS(O62&gt;='分位数阈值'!$D$12,5,O62&gt;='分位数阈值'!$E$12,4,O62&gt;='分位数阈值'!$F$12,3,O62&gt;='分位数阈值'!$G$12,2,TRUE,1)))</f>
        <v/>
      </c>
      <c r="AM62" s="23">
        <f>IF(R62="","",IF('分位数阈值'!$D$13="","",IFS(R62&lt;='分位数阈值'!$G$13,5,R62&lt;='分位数阈值'!$F$13,4,R62&lt;='分位数阈值'!$E$13,3,R62&lt;='分位数阈值'!$D$13,2,TRUE,1)))</f>
        <v/>
      </c>
      <c r="AN62" s="23">
        <f>IF(S62="","",IF('分位数阈值'!$D$14="","",IFS(S62&lt;='分位数阈值'!$G$14,5,S62&lt;='分位数阈值'!$F$14,4,S62&lt;='分位数阈值'!$E$14,3,S62&lt;='分位数阈值'!$D$14,2,TRUE,1)))</f>
        <v/>
      </c>
      <c r="AO62" s="23">
        <f>IF(T62="","",IF('分位数阈值'!$D$15="","",IFS(T62&lt;='分位数阈值'!$G$15,5,T62&lt;='分位数阈值'!$F$15,4,T62&lt;='分位数阈值'!$E$15,3,T62&lt;='分位数阈值'!$D$15,2,TRUE,1)))</f>
        <v/>
      </c>
      <c r="AP62" s="23">
        <f>IF(U62="","",IF(U62=1,5,1))</f>
        <v/>
      </c>
      <c r="AQ62" s="23">
        <f>IF(V62="","",V62)</f>
        <v/>
      </c>
      <c r="AR62" s="23">
        <f>IF(W62="","",IF('分位数阈值'!$D$16="","",IFS(W62&lt;='分位数阈值'!$G$16,5,W62&lt;='分位数阈值'!$F$16,4,W62&lt;='分位数阈值'!$E$16,3,W62&lt;='分位数阈值'!$D$16,2,TRUE,1)))</f>
        <v/>
      </c>
      <c r="AS62" s="23">
        <f>IF(X62="","",X62)</f>
        <v/>
      </c>
      <c r="AT62" s="23">
        <f>IF(Y62="","",Y62)</f>
        <v/>
      </c>
      <c r="AU62" s="10">
        <f>IF($A62="","",IF(OR(Z62=1,AR62=1,AJ62=1),"淘汰","通过"))</f>
        <v/>
      </c>
      <c r="AV62" s="10">
        <f>IF($A62="","",IF(OR(AA62=1,AR62=1,AND(AK62=1,AI62=1),AO62=1),"淘汰","通过"))</f>
        <v/>
      </c>
      <c r="AW62" s="24">
        <f>IF($A62="","",IF(AU62="淘汰","",ROUND(SUMPRODUCT(Z62:AT62,Z$2:AT$2)/5,1)))</f>
        <v/>
      </c>
      <c r="AX62" s="24">
        <f>IF($A62="","",IF(AV62="淘汰","",ROUND(SUMPRODUCT(Z62:AT62,Z$3:AT$3)/5,1)))</f>
        <v/>
      </c>
    </row>
    <row r="63" ht="15.75" customHeight="1" s="25">
      <c r="A63" s="22" t="n"/>
      <c r="B63" s="20" t="n"/>
      <c r="C63" s="22" t="n"/>
      <c r="D63" s="22" t="n"/>
      <c r="E63" s="22" t="n"/>
      <c r="F63" s="22" t="n"/>
      <c r="G63" s="21" t="n"/>
      <c r="H63" s="21" t="n"/>
      <c r="I63" s="21" t="n"/>
      <c r="J63" s="21" t="n"/>
      <c r="K63" s="21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3">
        <f>IF(E63="","",IF('分位数阈值'!$D$2="","",IFS(E63&gt;='分位数阈值'!$D$2,5,E63&gt;='分位数阈值'!$E$2,4,E63&gt;='分位数阈值'!$F$2,3,E63&gt;='分位数阈值'!$G$2,2,TRUE,1)))</f>
        <v/>
      </c>
      <c r="AA63" s="23">
        <f>IF(F63="","",IF('分位数阈值'!$D$3="","",IFS(F63&gt;='分位数阈值'!$D$3,5,F63&gt;='分位数阈值'!$E$3,4,F63&gt;='分位数阈值'!$F$3,3,F63&gt;='分位数阈值'!$G$3,2,TRUE,1)))</f>
        <v/>
      </c>
      <c r="AB63" s="23">
        <f>IF(G63="","",IF('分位数阈值'!$D$4="","",IFS(G63&gt;='分位数阈值'!$D$4,5,G63&gt;='分位数阈值'!$E$4,4,G63&gt;='分位数阈值'!$F$4,3,G63&gt;='分位数阈值'!$G$4,2,TRUE,1)))</f>
        <v/>
      </c>
      <c r="AC63" s="23">
        <f>IF(H63="","",IF('分位数阈值'!$D$5="","",IFS(H63&gt;='分位数阈值'!$D$5,5,H63&gt;='分位数阈值'!$E$5,4,H63&gt;='分位数阈值'!$F$5,3,H63&gt;='分位数阈值'!$G$5,2,TRUE,1)))</f>
        <v/>
      </c>
      <c r="AD63" s="23">
        <f>IF(I63="","",IF('分位数阈值'!$D$6="","",IFS(I63&gt;='分位数阈值'!$D$6,5,I63&gt;='分位数阈值'!$E$6,4,I63&gt;='分位数阈值'!$F$6,3,I63&gt;='分位数阈值'!$G$6,2,TRUE,1)))</f>
        <v/>
      </c>
      <c r="AE63" s="23">
        <f>IF(J63="","",IF('分位数阈值'!$D$7="","",IFS(J63&gt;='分位数阈值'!$D$7,5,J63&gt;='分位数阈值'!$E$7,4,J63&gt;='分位数阈值'!$F$7,3,J63&gt;='分位数阈值'!$G$7,2,TRUE,1)))</f>
        <v/>
      </c>
      <c r="AF63" s="23">
        <f>IF(K63="","",IF('分位数阈值'!$D$8="","",IFS(K63&gt;='分位数阈值'!$D$8,5,K63&gt;='分位数阈值'!$E$8,4,K63&gt;='分位数阈值'!$F$8,3,K63&gt;='分位数阈值'!$G$8,2,TRUE,1)))</f>
        <v/>
      </c>
      <c r="AG63" s="23">
        <f>IF(L63="","",IF('分位数阈值'!$D$9="","",IFS(L63&gt;='分位数阈值'!$D$9,5,L63&gt;='分位数阈值'!$E$9,4,L63&gt;='分位数阈值'!$F$9,3,L63&gt;='分位数阈值'!$G$9,2,TRUE,1)))</f>
        <v/>
      </c>
      <c r="AH63" s="23">
        <f>IF(M63="","",IF('分位数阈值'!$D$10="","",IFS(M63&lt;='分位数阈值'!$G$10,5,M63&lt;='分位数阈值'!$F$10,4,M63&lt;='分位数阈值'!$E$10,3,M63&lt;='分位数阈值'!$D$10,2,TRUE,1)))</f>
        <v/>
      </c>
      <c r="AI63" s="23">
        <f>IF(N63="","",IF('分位数阈值'!$D$11="","",IFS(N63&lt;='分位数阈值'!$G$11,5,N63&lt;='分位数阈值'!$F$11,4,N63&lt;='分位数阈值'!$E$11,3,N63&lt;='分位数阈值'!$D$11,2,TRUE,1)))</f>
        <v/>
      </c>
      <c r="AJ63" s="23">
        <f>IF(P63="","",IF(P63=1,1,5))</f>
        <v/>
      </c>
      <c r="AK63" s="23">
        <f>IF(Q63="","",IF(Q63=1,1,5))</f>
        <v/>
      </c>
      <c r="AL63" s="23">
        <f>IF(O63="","",IF('分位数阈值'!$D$12="","",IFS(O63&gt;='分位数阈值'!$D$12,5,O63&gt;='分位数阈值'!$E$12,4,O63&gt;='分位数阈值'!$F$12,3,O63&gt;='分位数阈值'!$G$12,2,TRUE,1)))</f>
        <v/>
      </c>
      <c r="AM63" s="23">
        <f>IF(R63="","",IF('分位数阈值'!$D$13="","",IFS(R63&lt;='分位数阈值'!$G$13,5,R63&lt;='分位数阈值'!$F$13,4,R63&lt;='分位数阈值'!$E$13,3,R63&lt;='分位数阈值'!$D$13,2,TRUE,1)))</f>
        <v/>
      </c>
      <c r="AN63" s="23">
        <f>IF(S63="","",IF('分位数阈值'!$D$14="","",IFS(S63&lt;='分位数阈值'!$G$14,5,S63&lt;='分位数阈值'!$F$14,4,S63&lt;='分位数阈值'!$E$14,3,S63&lt;='分位数阈值'!$D$14,2,TRUE,1)))</f>
        <v/>
      </c>
      <c r="AO63" s="23">
        <f>IF(T63="","",IF('分位数阈值'!$D$15="","",IFS(T63&lt;='分位数阈值'!$G$15,5,T63&lt;='分位数阈值'!$F$15,4,T63&lt;='分位数阈值'!$E$15,3,T63&lt;='分位数阈值'!$D$15,2,TRUE,1)))</f>
        <v/>
      </c>
      <c r="AP63" s="23">
        <f>IF(U63="","",IF(U63=1,5,1))</f>
        <v/>
      </c>
      <c r="AQ63" s="23">
        <f>IF(V63="","",V63)</f>
        <v/>
      </c>
      <c r="AR63" s="23">
        <f>IF(W63="","",IF('分位数阈值'!$D$16="","",IFS(W63&lt;='分位数阈值'!$G$16,5,W63&lt;='分位数阈值'!$F$16,4,W63&lt;='分位数阈值'!$E$16,3,W63&lt;='分位数阈值'!$D$16,2,TRUE,1)))</f>
        <v/>
      </c>
      <c r="AS63" s="23">
        <f>IF(X63="","",X63)</f>
        <v/>
      </c>
      <c r="AT63" s="23">
        <f>IF(Y63="","",Y63)</f>
        <v/>
      </c>
      <c r="AU63" s="10">
        <f>IF($A63="","",IF(OR(Z63=1,AR63=1,AJ63=1),"淘汰","通过"))</f>
        <v/>
      </c>
      <c r="AV63" s="10">
        <f>IF($A63="","",IF(OR(AA63=1,AR63=1,AND(AK63=1,AI63=1),AO63=1),"淘汰","通过"))</f>
        <v/>
      </c>
      <c r="AW63" s="24">
        <f>IF($A63="","",IF(AU63="淘汰","",ROUND(SUMPRODUCT(Z63:AT63,Z$2:AT$2)/5,1)))</f>
        <v/>
      </c>
      <c r="AX63" s="24">
        <f>IF($A63="","",IF(AV63="淘汰","",ROUND(SUMPRODUCT(Z63:AT63,Z$3:AT$3)/5,1)))</f>
        <v/>
      </c>
    </row>
    <row r="64" ht="15.75" customHeight="1" s="25">
      <c r="A64" s="22" t="n"/>
      <c r="B64" s="20" t="n"/>
      <c r="C64" s="22" t="n"/>
      <c r="D64" s="22" t="n"/>
      <c r="E64" s="22" t="n"/>
      <c r="F64" s="22" t="n"/>
      <c r="G64" s="21" t="n"/>
      <c r="H64" s="21" t="n"/>
      <c r="I64" s="21" t="n"/>
      <c r="J64" s="21" t="n"/>
      <c r="K64" s="21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3">
        <f>IF(E64="","",IF('分位数阈值'!$D$2="","",IFS(E64&gt;='分位数阈值'!$D$2,5,E64&gt;='分位数阈值'!$E$2,4,E64&gt;='分位数阈值'!$F$2,3,E64&gt;='分位数阈值'!$G$2,2,TRUE,1)))</f>
        <v/>
      </c>
      <c r="AA64" s="23">
        <f>IF(F64="","",IF('分位数阈值'!$D$3="","",IFS(F64&gt;='分位数阈值'!$D$3,5,F64&gt;='分位数阈值'!$E$3,4,F64&gt;='分位数阈值'!$F$3,3,F64&gt;='分位数阈值'!$G$3,2,TRUE,1)))</f>
        <v/>
      </c>
      <c r="AB64" s="23">
        <f>IF(G64="","",IF('分位数阈值'!$D$4="","",IFS(G64&gt;='分位数阈值'!$D$4,5,G64&gt;='分位数阈值'!$E$4,4,G64&gt;='分位数阈值'!$F$4,3,G64&gt;='分位数阈值'!$G$4,2,TRUE,1)))</f>
        <v/>
      </c>
      <c r="AC64" s="23">
        <f>IF(H64="","",IF('分位数阈值'!$D$5="","",IFS(H64&gt;='分位数阈值'!$D$5,5,H64&gt;='分位数阈值'!$E$5,4,H64&gt;='分位数阈值'!$F$5,3,H64&gt;='分位数阈值'!$G$5,2,TRUE,1)))</f>
        <v/>
      </c>
      <c r="AD64" s="23">
        <f>IF(I64="","",IF('分位数阈值'!$D$6="","",IFS(I64&gt;='分位数阈值'!$D$6,5,I64&gt;='分位数阈值'!$E$6,4,I64&gt;='分位数阈值'!$F$6,3,I64&gt;='分位数阈值'!$G$6,2,TRUE,1)))</f>
        <v/>
      </c>
      <c r="AE64" s="23">
        <f>IF(J64="","",IF('分位数阈值'!$D$7="","",IFS(J64&gt;='分位数阈值'!$D$7,5,J64&gt;='分位数阈值'!$E$7,4,J64&gt;='分位数阈值'!$F$7,3,J64&gt;='分位数阈值'!$G$7,2,TRUE,1)))</f>
        <v/>
      </c>
      <c r="AF64" s="23">
        <f>IF(K64="","",IF('分位数阈值'!$D$8="","",IFS(K64&gt;='分位数阈值'!$D$8,5,K64&gt;='分位数阈值'!$E$8,4,K64&gt;='分位数阈值'!$F$8,3,K64&gt;='分位数阈值'!$G$8,2,TRUE,1)))</f>
        <v/>
      </c>
      <c r="AG64" s="23">
        <f>IF(L64="","",IF('分位数阈值'!$D$9="","",IFS(L64&gt;='分位数阈值'!$D$9,5,L64&gt;='分位数阈值'!$E$9,4,L64&gt;='分位数阈值'!$F$9,3,L64&gt;='分位数阈值'!$G$9,2,TRUE,1)))</f>
        <v/>
      </c>
      <c r="AH64" s="23">
        <f>IF(M64="","",IF('分位数阈值'!$D$10="","",IFS(M64&lt;='分位数阈值'!$G$10,5,M64&lt;='分位数阈值'!$F$10,4,M64&lt;='分位数阈值'!$E$10,3,M64&lt;='分位数阈值'!$D$10,2,TRUE,1)))</f>
        <v/>
      </c>
      <c r="AI64" s="23">
        <f>IF(N64="","",IF('分位数阈值'!$D$11="","",IFS(N64&lt;='分位数阈值'!$G$11,5,N64&lt;='分位数阈值'!$F$11,4,N64&lt;='分位数阈值'!$E$11,3,N64&lt;='分位数阈值'!$D$11,2,TRUE,1)))</f>
        <v/>
      </c>
      <c r="AJ64" s="23">
        <f>IF(P64="","",IF(P64=1,1,5))</f>
        <v/>
      </c>
      <c r="AK64" s="23">
        <f>IF(Q64="","",IF(Q64=1,1,5))</f>
        <v/>
      </c>
      <c r="AL64" s="23">
        <f>IF(O64="","",IF('分位数阈值'!$D$12="","",IFS(O64&gt;='分位数阈值'!$D$12,5,O64&gt;='分位数阈值'!$E$12,4,O64&gt;='分位数阈值'!$F$12,3,O64&gt;='分位数阈值'!$G$12,2,TRUE,1)))</f>
        <v/>
      </c>
      <c r="AM64" s="23">
        <f>IF(R64="","",IF('分位数阈值'!$D$13="","",IFS(R64&lt;='分位数阈值'!$G$13,5,R64&lt;='分位数阈值'!$F$13,4,R64&lt;='分位数阈值'!$E$13,3,R64&lt;='分位数阈值'!$D$13,2,TRUE,1)))</f>
        <v/>
      </c>
      <c r="AN64" s="23">
        <f>IF(S64="","",IF('分位数阈值'!$D$14="","",IFS(S64&lt;='分位数阈值'!$G$14,5,S64&lt;='分位数阈值'!$F$14,4,S64&lt;='分位数阈值'!$E$14,3,S64&lt;='分位数阈值'!$D$14,2,TRUE,1)))</f>
        <v/>
      </c>
      <c r="AO64" s="23">
        <f>IF(T64="","",IF('分位数阈值'!$D$15="","",IFS(T64&lt;='分位数阈值'!$G$15,5,T64&lt;='分位数阈值'!$F$15,4,T64&lt;='分位数阈值'!$E$15,3,T64&lt;='分位数阈值'!$D$15,2,TRUE,1)))</f>
        <v/>
      </c>
      <c r="AP64" s="23">
        <f>IF(U64="","",IF(U64=1,5,1))</f>
        <v/>
      </c>
      <c r="AQ64" s="23">
        <f>IF(V64="","",V64)</f>
        <v/>
      </c>
      <c r="AR64" s="23">
        <f>IF(W64="","",IF('分位数阈值'!$D$16="","",IFS(W64&lt;='分位数阈值'!$G$16,5,W64&lt;='分位数阈值'!$F$16,4,W64&lt;='分位数阈值'!$E$16,3,W64&lt;='分位数阈值'!$D$16,2,TRUE,1)))</f>
        <v/>
      </c>
      <c r="AS64" s="23">
        <f>IF(X64="","",X64)</f>
        <v/>
      </c>
      <c r="AT64" s="23">
        <f>IF(Y64="","",Y64)</f>
        <v/>
      </c>
      <c r="AU64" s="10">
        <f>IF($A64="","",IF(OR(Z64=1,AR64=1,AJ64=1),"淘汰","通过"))</f>
        <v/>
      </c>
      <c r="AV64" s="10">
        <f>IF($A64="","",IF(OR(AA64=1,AR64=1,AND(AK64=1,AI64=1),AO64=1),"淘汰","通过"))</f>
        <v/>
      </c>
      <c r="AW64" s="24">
        <f>IF($A64="","",IF(AU64="淘汰","",ROUND(SUMPRODUCT(Z64:AT64,Z$2:AT$2)/5,1)))</f>
        <v/>
      </c>
      <c r="AX64" s="24">
        <f>IF($A64="","",IF(AV64="淘汰","",ROUND(SUMPRODUCT(Z64:AT64,Z$3:AT$3)/5,1)))</f>
        <v/>
      </c>
    </row>
    <row r="65" ht="15.75" customHeight="1" s="25">
      <c r="A65" s="22" t="n"/>
      <c r="B65" s="20" t="n"/>
      <c r="C65" s="22" t="n"/>
      <c r="D65" s="22" t="n"/>
      <c r="E65" s="22" t="n"/>
      <c r="F65" s="22" t="n"/>
      <c r="G65" s="21" t="n"/>
      <c r="H65" s="21" t="n"/>
      <c r="I65" s="21" t="n"/>
      <c r="J65" s="21" t="n"/>
      <c r="K65" s="21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3">
        <f>IF(E65="","",IF('分位数阈值'!$D$2="","",IFS(E65&gt;='分位数阈值'!$D$2,5,E65&gt;='分位数阈值'!$E$2,4,E65&gt;='分位数阈值'!$F$2,3,E65&gt;='分位数阈值'!$G$2,2,TRUE,1)))</f>
        <v/>
      </c>
      <c r="AA65" s="23">
        <f>IF(F65="","",IF('分位数阈值'!$D$3="","",IFS(F65&gt;='分位数阈值'!$D$3,5,F65&gt;='分位数阈值'!$E$3,4,F65&gt;='分位数阈值'!$F$3,3,F65&gt;='分位数阈值'!$G$3,2,TRUE,1)))</f>
        <v/>
      </c>
      <c r="AB65" s="23">
        <f>IF(G65="","",IF('分位数阈值'!$D$4="","",IFS(G65&gt;='分位数阈值'!$D$4,5,G65&gt;='分位数阈值'!$E$4,4,G65&gt;='分位数阈值'!$F$4,3,G65&gt;='分位数阈值'!$G$4,2,TRUE,1)))</f>
        <v/>
      </c>
      <c r="AC65" s="23">
        <f>IF(H65="","",IF('分位数阈值'!$D$5="","",IFS(H65&gt;='分位数阈值'!$D$5,5,H65&gt;='分位数阈值'!$E$5,4,H65&gt;='分位数阈值'!$F$5,3,H65&gt;='分位数阈值'!$G$5,2,TRUE,1)))</f>
        <v/>
      </c>
      <c r="AD65" s="23">
        <f>IF(I65="","",IF('分位数阈值'!$D$6="","",IFS(I65&gt;='分位数阈值'!$D$6,5,I65&gt;='分位数阈值'!$E$6,4,I65&gt;='分位数阈值'!$F$6,3,I65&gt;='分位数阈值'!$G$6,2,TRUE,1)))</f>
        <v/>
      </c>
      <c r="AE65" s="23">
        <f>IF(J65="","",IF('分位数阈值'!$D$7="","",IFS(J65&gt;='分位数阈值'!$D$7,5,J65&gt;='分位数阈值'!$E$7,4,J65&gt;='分位数阈值'!$F$7,3,J65&gt;='分位数阈值'!$G$7,2,TRUE,1)))</f>
        <v/>
      </c>
      <c r="AF65" s="23">
        <f>IF(K65="","",IF('分位数阈值'!$D$8="","",IFS(K65&gt;='分位数阈值'!$D$8,5,K65&gt;='分位数阈值'!$E$8,4,K65&gt;='分位数阈值'!$F$8,3,K65&gt;='分位数阈值'!$G$8,2,TRUE,1)))</f>
        <v/>
      </c>
      <c r="AG65" s="23">
        <f>IF(L65="","",IF('分位数阈值'!$D$9="","",IFS(L65&gt;='分位数阈值'!$D$9,5,L65&gt;='分位数阈值'!$E$9,4,L65&gt;='分位数阈值'!$F$9,3,L65&gt;='分位数阈值'!$G$9,2,TRUE,1)))</f>
        <v/>
      </c>
      <c r="AH65" s="23">
        <f>IF(M65="","",IF('分位数阈值'!$D$10="","",IFS(M65&lt;='分位数阈值'!$G$10,5,M65&lt;='分位数阈值'!$F$10,4,M65&lt;='分位数阈值'!$E$10,3,M65&lt;='分位数阈值'!$D$10,2,TRUE,1)))</f>
        <v/>
      </c>
      <c r="AI65" s="23">
        <f>IF(N65="","",IF('分位数阈值'!$D$11="","",IFS(N65&lt;='分位数阈值'!$G$11,5,N65&lt;='分位数阈值'!$F$11,4,N65&lt;='分位数阈值'!$E$11,3,N65&lt;='分位数阈值'!$D$11,2,TRUE,1)))</f>
        <v/>
      </c>
      <c r="AJ65" s="23">
        <f>IF(P65="","",IF(P65=1,1,5))</f>
        <v/>
      </c>
      <c r="AK65" s="23">
        <f>IF(Q65="","",IF(Q65=1,1,5))</f>
        <v/>
      </c>
      <c r="AL65" s="23">
        <f>IF(O65="","",IF('分位数阈值'!$D$12="","",IFS(O65&gt;='分位数阈值'!$D$12,5,O65&gt;='分位数阈值'!$E$12,4,O65&gt;='分位数阈值'!$F$12,3,O65&gt;='分位数阈值'!$G$12,2,TRUE,1)))</f>
        <v/>
      </c>
      <c r="AM65" s="23">
        <f>IF(R65="","",IF('分位数阈值'!$D$13="","",IFS(R65&lt;='分位数阈值'!$G$13,5,R65&lt;='分位数阈值'!$F$13,4,R65&lt;='分位数阈值'!$E$13,3,R65&lt;='分位数阈值'!$D$13,2,TRUE,1)))</f>
        <v/>
      </c>
      <c r="AN65" s="23">
        <f>IF(S65="","",IF('分位数阈值'!$D$14="","",IFS(S65&lt;='分位数阈值'!$G$14,5,S65&lt;='分位数阈值'!$F$14,4,S65&lt;='分位数阈值'!$E$14,3,S65&lt;='分位数阈值'!$D$14,2,TRUE,1)))</f>
        <v/>
      </c>
      <c r="AO65" s="23">
        <f>IF(T65="","",IF('分位数阈值'!$D$15="","",IFS(T65&lt;='分位数阈值'!$G$15,5,T65&lt;='分位数阈值'!$F$15,4,T65&lt;='分位数阈值'!$E$15,3,T65&lt;='分位数阈值'!$D$15,2,TRUE,1)))</f>
        <v/>
      </c>
      <c r="AP65" s="23">
        <f>IF(U65="","",IF(U65=1,5,1))</f>
        <v/>
      </c>
      <c r="AQ65" s="23">
        <f>IF(V65="","",V65)</f>
        <v/>
      </c>
      <c r="AR65" s="23">
        <f>IF(W65="","",IF('分位数阈值'!$D$16="","",IFS(W65&lt;='分位数阈值'!$G$16,5,W65&lt;='分位数阈值'!$F$16,4,W65&lt;='分位数阈值'!$E$16,3,W65&lt;='分位数阈值'!$D$16,2,TRUE,1)))</f>
        <v/>
      </c>
      <c r="AS65" s="23">
        <f>IF(X65="","",X65)</f>
        <v/>
      </c>
      <c r="AT65" s="23">
        <f>IF(Y65="","",Y65)</f>
        <v/>
      </c>
      <c r="AU65" s="10">
        <f>IF($A65="","",IF(OR(Z65=1,AR65=1,AJ65=1),"淘汰","通过"))</f>
        <v/>
      </c>
      <c r="AV65" s="10">
        <f>IF($A65="","",IF(OR(AA65=1,AR65=1,AND(AK65=1,AI65=1),AO65=1),"淘汰","通过"))</f>
        <v/>
      </c>
      <c r="AW65" s="24">
        <f>IF($A65="","",IF(AU65="淘汰","",ROUND(SUMPRODUCT(Z65:AT65,Z$2:AT$2)/5,1)))</f>
        <v/>
      </c>
      <c r="AX65" s="24">
        <f>IF($A65="","",IF(AV65="淘汰","",ROUND(SUMPRODUCT(Z65:AT65,Z$3:AT$3)/5,1)))</f>
        <v/>
      </c>
    </row>
    <row r="66" ht="15.75" customHeight="1" s="25">
      <c r="A66" s="22" t="n"/>
      <c r="B66" s="20" t="n"/>
      <c r="C66" s="22" t="n"/>
      <c r="D66" s="22" t="n"/>
      <c r="E66" s="22" t="n"/>
      <c r="F66" s="22" t="n"/>
      <c r="G66" s="21" t="n"/>
      <c r="H66" s="21" t="n"/>
      <c r="I66" s="21" t="n"/>
      <c r="J66" s="21" t="n"/>
      <c r="K66" s="21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3">
        <f>IF(E66="","",IF('分位数阈值'!$D$2="","",IFS(E66&gt;='分位数阈值'!$D$2,5,E66&gt;='分位数阈值'!$E$2,4,E66&gt;='分位数阈值'!$F$2,3,E66&gt;='分位数阈值'!$G$2,2,TRUE,1)))</f>
        <v/>
      </c>
      <c r="AA66" s="23">
        <f>IF(F66="","",IF('分位数阈值'!$D$3="","",IFS(F66&gt;='分位数阈值'!$D$3,5,F66&gt;='分位数阈值'!$E$3,4,F66&gt;='分位数阈值'!$F$3,3,F66&gt;='分位数阈值'!$G$3,2,TRUE,1)))</f>
        <v/>
      </c>
      <c r="AB66" s="23">
        <f>IF(G66="","",IF('分位数阈值'!$D$4="","",IFS(G66&gt;='分位数阈值'!$D$4,5,G66&gt;='分位数阈值'!$E$4,4,G66&gt;='分位数阈值'!$F$4,3,G66&gt;='分位数阈值'!$G$4,2,TRUE,1)))</f>
        <v/>
      </c>
      <c r="AC66" s="23">
        <f>IF(H66="","",IF('分位数阈值'!$D$5="","",IFS(H66&gt;='分位数阈值'!$D$5,5,H66&gt;='分位数阈值'!$E$5,4,H66&gt;='分位数阈值'!$F$5,3,H66&gt;='分位数阈值'!$G$5,2,TRUE,1)))</f>
        <v/>
      </c>
      <c r="AD66" s="23">
        <f>IF(I66="","",IF('分位数阈值'!$D$6="","",IFS(I66&gt;='分位数阈值'!$D$6,5,I66&gt;='分位数阈值'!$E$6,4,I66&gt;='分位数阈值'!$F$6,3,I66&gt;='分位数阈值'!$G$6,2,TRUE,1)))</f>
        <v/>
      </c>
      <c r="AE66" s="23">
        <f>IF(J66="","",IF('分位数阈值'!$D$7="","",IFS(J66&gt;='分位数阈值'!$D$7,5,J66&gt;='分位数阈值'!$E$7,4,J66&gt;='分位数阈值'!$F$7,3,J66&gt;='分位数阈值'!$G$7,2,TRUE,1)))</f>
        <v/>
      </c>
      <c r="AF66" s="23">
        <f>IF(K66="","",IF('分位数阈值'!$D$8="","",IFS(K66&gt;='分位数阈值'!$D$8,5,K66&gt;='分位数阈值'!$E$8,4,K66&gt;='分位数阈值'!$F$8,3,K66&gt;='分位数阈值'!$G$8,2,TRUE,1)))</f>
        <v/>
      </c>
      <c r="AG66" s="23">
        <f>IF(L66="","",IF('分位数阈值'!$D$9="","",IFS(L66&gt;='分位数阈值'!$D$9,5,L66&gt;='分位数阈值'!$E$9,4,L66&gt;='分位数阈值'!$F$9,3,L66&gt;='分位数阈值'!$G$9,2,TRUE,1)))</f>
        <v/>
      </c>
      <c r="AH66" s="23">
        <f>IF(M66="","",IF('分位数阈值'!$D$10="","",IFS(M66&lt;='分位数阈值'!$G$10,5,M66&lt;='分位数阈值'!$F$10,4,M66&lt;='分位数阈值'!$E$10,3,M66&lt;='分位数阈值'!$D$10,2,TRUE,1)))</f>
        <v/>
      </c>
      <c r="AI66" s="23">
        <f>IF(N66="","",IF('分位数阈值'!$D$11="","",IFS(N66&lt;='分位数阈值'!$G$11,5,N66&lt;='分位数阈值'!$F$11,4,N66&lt;='分位数阈值'!$E$11,3,N66&lt;='分位数阈值'!$D$11,2,TRUE,1)))</f>
        <v/>
      </c>
      <c r="AJ66" s="23">
        <f>IF(P66="","",IF(P66=1,1,5))</f>
        <v/>
      </c>
      <c r="AK66" s="23">
        <f>IF(Q66="","",IF(Q66=1,1,5))</f>
        <v/>
      </c>
      <c r="AL66" s="23">
        <f>IF(O66="","",IF('分位数阈值'!$D$12="","",IFS(O66&gt;='分位数阈值'!$D$12,5,O66&gt;='分位数阈值'!$E$12,4,O66&gt;='分位数阈值'!$F$12,3,O66&gt;='分位数阈值'!$G$12,2,TRUE,1)))</f>
        <v/>
      </c>
      <c r="AM66" s="23">
        <f>IF(R66="","",IF('分位数阈值'!$D$13="","",IFS(R66&lt;='分位数阈值'!$G$13,5,R66&lt;='分位数阈值'!$F$13,4,R66&lt;='分位数阈值'!$E$13,3,R66&lt;='分位数阈值'!$D$13,2,TRUE,1)))</f>
        <v/>
      </c>
      <c r="AN66" s="23">
        <f>IF(S66="","",IF('分位数阈值'!$D$14="","",IFS(S66&lt;='分位数阈值'!$G$14,5,S66&lt;='分位数阈值'!$F$14,4,S66&lt;='分位数阈值'!$E$14,3,S66&lt;='分位数阈值'!$D$14,2,TRUE,1)))</f>
        <v/>
      </c>
      <c r="AO66" s="23">
        <f>IF(T66="","",IF('分位数阈值'!$D$15="","",IFS(T66&lt;='分位数阈值'!$G$15,5,T66&lt;='分位数阈值'!$F$15,4,T66&lt;='分位数阈值'!$E$15,3,T66&lt;='分位数阈值'!$D$15,2,TRUE,1)))</f>
        <v/>
      </c>
      <c r="AP66" s="23">
        <f>IF(U66="","",IF(U66=1,5,1))</f>
        <v/>
      </c>
      <c r="AQ66" s="23">
        <f>IF(V66="","",V66)</f>
        <v/>
      </c>
      <c r="AR66" s="23">
        <f>IF(W66="","",IF('分位数阈值'!$D$16="","",IFS(W66&lt;='分位数阈值'!$G$16,5,W66&lt;='分位数阈值'!$F$16,4,W66&lt;='分位数阈值'!$E$16,3,W66&lt;='分位数阈值'!$D$16,2,TRUE,1)))</f>
        <v/>
      </c>
      <c r="AS66" s="23">
        <f>IF(X66="","",X66)</f>
        <v/>
      </c>
      <c r="AT66" s="23">
        <f>IF(Y66="","",Y66)</f>
        <v/>
      </c>
      <c r="AU66" s="10">
        <f>IF($A66="","",IF(OR(Z66=1,AR66=1,AJ66=1),"淘汰","通过"))</f>
        <v/>
      </c>
      <c r="AV66" s="10">
        <f>IF($A66="","",IF(OR(AA66=1,AR66=1,AND(AK66=1,AI66=1),AO66=1),"淘汰","通过"))</f>
        <v/>
      </c>
      <c r="AW66" s="24">
        <f>IF($A66="","",IF(AU66="淘汰","",ROUND(SUMPRODUCT(Z66:AT66,Z$2:AT$2)/5,1)))</f>
        <v/>
      </c>
      <c r="AX66" s="24">
        <f>IF($A66="","",IF(AV66="淘汰","",ROUND(SUMPRODUCT(Z66:AT66,Z$3:AT$3)/5,1)))</f>
        <v/>
      </c>
    </row>
    <row r="67" ht="15.75" customHeight="1" s="25">
      <c r="A67" s="22" t="n"/>
      <c r="B67" s="20" t="n"/>
      <c r="C67" s="22" t="n"/>
      <c r="D67" s="22" t="n"/>
      <c r="E67" s="22" t="n"/>
      <c r="F67" s="22" t="n"/>
      <c r="G67" s="21" t="n"/>
      <c r="H67" s="21" t="n"/>
      <c r="I67" s="21" t="n"/>
      <c r="J67" s="21" t="n"/>
      <c r="K67" s="21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3">
        <f>IF(E67="","",IF('分位数阈值'!$D$2="","",IFS(E67&gt;='分位数阈值'!$D$2,5,E67&gt;='分位数阈值'!$E$2,4,E67&gt;='分位数阈值'!$F$2,3,E67&gt;='分位数阈值'!$G$2,2,TRUE,1)))</f>
        <v/>
      </c>
      <c r="AA67" s="23">
        <f>IF(F67="","",IF('分位数阈值'!$D$3="","",IFS(F67&gt;='分位数阈值'!$D$3,5,F67&gt;='分位数阈值'!$E$3,4,F67&gt;='分位数阈值'!$F$3,3,F67&gt;='分位数阈值'!$G$3,2,TRUE,1)))</f>
        <v/>
      </c>
      <c r="AB67" s="23">
        <f>IF(G67="","",IF('分位数阈值'!$D$4="","",IFS(G67&gt;='分位数阈值'!$D$4,5,G67&gt;='分位数阈值'!$E$4,4,G67&gt;='分位数阈值'!$F$4,3,G67&gt;='分位数阈值'!$G$4,2,TRUE,1)))</f>
        <v/>
      </c>
      <c r="AC67" s="23">
        <f>IF(H67="","",IF('分位数阈值'!$D$5="","",IFS(H67&gt;='分位数阈值'!$D$5,5,H67&gt;='分位数阈值'!$E$5,4,H67&gt;='分位数阈值'!$F$5,3,H67&gt;='分位数阈值'!$G$5,2,TRUE,1)))</f>
        <v/>
      </c>
      <c r="AD67" s="23">
        <f>IF(I67="","",IF('分位数阈值'!$D$6="","",IFS(I67&gt;='分位数阈值'!$D$6,5,I67&gt;='分位数阈值'!$E$6,4,I67&gt;='分位数阈值'!$F$6,3,I67&gt;='分位数阈值'!$G$6,2,TRUE,1)))</f>
        <v/>
      </c>
      <c r="AE67" s="23">
        <f>IF(J67="","",IF('分位数阈值'!$D$7="","",IFS(J67&gt;='分位数阈值'!$D$7,5,J67&gt;='分位数阈值'!$E$7,4,J67&gt;='分位数阈值'!$F$7,3,J67&gt;='分位数阈值'!$G$7,2,TRUE,1)))</f>
        <v/>
      </c>
      <c r="AF67" s="23">
        <f>IF(K67="","",IF('分位数阈值'!$D$8="","",IFS(K67&gt;='分位数阈值'!$D$8,5,K67&gt;='分位数阈值'!$E$8,4,K67&gt;='分位数阈值'!$F$8,3,K67&gt;='分位数阈值'!$G$8,2,TRUE,1)))</f>
        <v/>
      </c>
      <c r="AG67" s="23">
        <f>IF(L67="","",IF('分位数阈值'!$D$9="","",IFS(L67&gt;='分位数阈值'!$D$9,5,L67&gt;='分位数阈值'!$E$9,4,L67&gt;='分位数阈值'!$F$9,3,L67&gt;='分位数阈值'!$G$9,2,TRUE,1)))</f>
        <v/>
      </c>
      <c r="AH67" s="23">
        <f>IF(M67="","",IF('分位数阈值'!$D$10="","",IFS(M67&lt;='分位数阈值'!$G$10,5,M67&lt;='分位数阈值'!$F$10,4,M67&lt;='分位数阈值'!$E$10,3,M67&lt;='分位数阈值'!$D$10,2,TRUE,1)))</f>
        <v/>
      </c>
      <c r="AI67" s="23">
        <f>IF(N67="","",IF('分位数阈值'!$D$11="","",IFS(N67&lt;='分位数阈值'!$G$11,5,N67&lt;='分位数阈值'!$F$11,4,N67&lt;='分位数阈值'!$E$11,3,N67&lt;='分位数阈值'!$D$11,2,TRUE,1)))</f>
        <v/>
      </c>
      <c r="AJ67" s="23">
        <f>IF(P67="","",IF(P67=1,1,5))</f>
        <v/>
      </c>
      <c r="AK67" s="23">
        <f>IF(Q67="","",IF(Q67=1,1,5))</f>
        <v/>
      </c>
      <c r="AL67" s="23">
        <f>IF(O67="","",IF('分位数阈值'!$D$12="","",IFS(O67&gt;='分位数阈值'!$D$12,5,O67&gt;='分位数阈值'!$E$12,4,O67&gt;='分位数阈值'!$F$12,3,O67&gt;='分位数阈值'!$G$12,2,TRUE,1)))</f>
        <v/>
      </c>
      <c r="AM67" s="23">
        <f>IF(R67="","",IF('分位数阈值'!$D$13="","",IFS(R67&lt;='分位数阈值'!$G$13,5,R67&lt;='分位数阈值'!$F$13,4,R67&lt;='分位数阈值'!$E$13,3,R67&lt;='分位数阈值'!$D$13,2,TRUE,1)))</f>
        <v/>
      </c>
      <c r="AN67" s="23">
        <f>IF(S67="","",IF('分位数阈值'!$D$14="","",IFS(S67&lt;='分位数阈值'!$G$14,5,S67&lt;='分位数阈值'!$F$14,4,S67&lt;='分位数阈值'!$E$14,3,S67&lt;='分位数阈值'!$D$14,2,TRUE,1)))</f>
        <v/>
      </c>
      <c r="AO67" s="23">
        <f>IF(T67="","",IF('分位数阈值'!$D$15="","",IFS(T67&lt;='分位数阈值'!$G$15,5,T67&lt;='分位数阈值'!$F$15,4,T67&lt;='分位数阈值'!$E$15,3,T67&lt;='分位数阈值'!$D$15,2,TRUE,1)))</f>
        <v/>
      </c>
      <c r="AP67" s="23">
        <f>IF(U67="","",IF(U67=1,5,1))</f>
        <v/>
      </c>
      <c r="AQ67" s="23">
        <f>IF(V67="","",V67)</f>
        <v/>
      </c>
      <c r="AR67" s="23">
        <f>IF(W67="","",IF('分位数阈值'!$D$16="","",IFS(W67&lt;='分位数阈值'!$G$16,5,W67&lt;='分位数阈值'!$F$16,4,W67&lt;='分位数阈值'!$E$16,3,W67&lt;='分位数阈值'!$D$16,2,TRUE,1)))</f>
        <v/>
      </c>
      <c r="AS67" s="23">
        <f>IF(X67="","",X67)</f>
        <v/>
      </c>
      <c r="AT67" s="23">
        <f>IF(Y67="","",Y67)</f>
        <v/>
      </c>
      <c r="AU67" s="10">
        <f>IF($A67="","",IF(OR(Z67=1,AR67=1,AJ67=1),"淘汰","通过"))</f>
        <v/>
      </c>
      <c r="AV67" s="10">
        <f>IF($A67="","",IF(OR(AA67=1,AR67=1,AND(AK67=1,AI67=1),AO67=1),"淘汰","通过"))</f>
        <v/>
      </c>
      <c r="AW67" s="24">
        <f>IF($A67="","",IF(AU67="淘汰","",ROUND(SUMPRODUCT(Z67:AT67,Z$2:AT$2)/5,1)))</f>
        <v/>
      </c>
      <c r="AX67" s="24">
        <f>IF($A67="","",IF(AV67="淘汰","",ROUND(SUMPRODUCT(Z67:AT67,Z$3:AT$3)/5,1)))</f>
        <v/>
      </c>
    </row>
    <row r="68" ht="15.75" customHeight="1" s="25">
      <c r="A68" s="22" t="n"/>
      <c r="B68" s="20" t="n"/>
      <c r="C68" s="22" t="n"/>
      <c r="D68" s="22" t="n"/>
      <c r="E68" s="22" t="n"/>
      <c r="F68" s="22" t="n"/>
      <c r="G68" s="21" t="n"/>
      <c r="H68" s="21" t="n"/>
      <c r="I68" s="21" t="n"/>
      <c r="J68" s="21" t="n"/>
      <c r="K68" s="21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3">
        <f>IF(E68="","",IF('分位数阈值'!$D$2="","",IFS(E68&gt;='分位数阈值'!$D$2,5,E68&gt;='分位数阈值'!$E$2,4,E68&gt;='分位数阈值'!$F$2,3,E68&gt;='分位数阈值'!$G$2,2,TRUE,1)))</f>
        <v/>
      </c>
      <c r="AA68" s="23">
        <f>IF(F68="","",IF('分位数阈值'!$D$3="","",IFS(F68&gt;='分位数阈值'!$D$3,5,F68&gt;='分位数阈值'!$E$3,4,F68&gt;='分位数阈值'!$F$3,3,F68&gt;='分位数阈值'!$G$3,2,TRUE,1)))</f>
        <v/>
      </c>
      <c r="AB68" s="23">
        <f>IF(G68="","",IF('分位数阈值'!$D$4="","",IFS(G68&gt;='分位数阈值'!$D$4,5,G68&gt;='分位数阈值'!$E$4,4,G68&gt;='分位数阈值'!$F$4,3,G68&gt;='分位数阈值'!$G$4,2,TRUE,1)))</f>
        <v/>
      </c>
      <c r="AC68" s="23">
        <f>IF(H68="","",IF('分位数阈值'!$D$5="","",IFS(H68&gt;='分位数阈值'!$D$5,5,H68&gt;='分位数阈值'!$E$5,4,H68&gt;='分位数阈值'!$F$5,3,H68&gt;='分位数阈值'!$G$5,2,TRUE,1)))</f>
        <v/>
      </c>
      <c r="AD68" s="23">
        <f>IF(I68="","",IF('分位数阈值'!$D$6="","",IFS(I68&gt;='分位数阈值'!$D$6,5,I68&gt;='分位数阈值'!$E$6,4,I68&gt;='分位数阈值'!$F$6,3,I68&gt;='分位数阈值'!$G$6,2,TRUE,1)))</f>
        <v/>
      </c>
      <c r="AE68" s="23">
        <f>IF(J68="","",IF('分位数阈值'!$D$7="","",IFS(J68&gt;='分位数阈值'!$D$7,5,J68&gt;='分位数阈值'!$E$7,4,J68&gt;='分位数阈值'!$F$7,3,J68&gt;='分位数阈值'!$G$7,2,TRUE,1)))</f>
        <v/>
      </c>
      <c r="AF68" s="23">
        <f>IF(K68="","",IF('分位数阈值'!$D$8="","",IFS(K68&gt;='分位数阈值'!$D$8,5,K68&gt;='分位数阈值'!$E$8,4,K68&gt;='分位数阈值'!$F$8,3,K68&gt;='分位数阈值'!$G$8,2,TRUE,1)))</f>
        <v/>
      </c>
      <c r="AG68" s="23">
        <f>IF(L68="","",IF('分位数阈值'!$D$9="","",IFS(L68&gt;='分位数阈值'!$D$9,5,L68&gt;='分位数阈值'!$E$9,4,L68&gt;='分位数阈值'!$F$9,3,L68&gt;='分位数阈值'!$G$9,2,TRUE,1)))</f>
        <v/>
      </c>
      <c r="AH68" s="23">
        <f>IF(M68="","",IF('分位数阈值'!$D$10="","",IFS(M68&lt;='分位数阈值'!$G$10,5,M68&lt;='分位数阈值'!$F$10,4,M68&lt;='分位数阈值'!$E$10,3,M68&lt;='分位数阈值'!$D$10,2,TRUE,1)))</f>
        <v/>
      </c>
      <c r="AI68" s="23">
        <f>IF(N68="","",IF('分位数阈值'!$D$11="","",IFS(N68&lt;='分位数阈值'!$G$11,5,N68&lt;='分位数阈值'!$F$11,4,N68&lt;='分位数阈值'!$E$11,3,N68&lt;='分位数阈值'!$D$11,2,TRUE,1)))</f>
        <v/>
      </c>
      <c r="AJ68" s="23">
        <f>IF(P68="","",IF(P68=1,1,5))</f>
        <v/>
      </c>
      <c r="AK68" s="23">
        <f>IF(Q68="","",IF(Q68=1,1,5))</f>
        <v/>
      </c>
      <c r="AL68" s="23">
        <f>IF(O68="","",IF('分位数阈值'!$D$12="","",IFS(O68&gt;='分位数阈值'!$D$12,5,O68&gt;='分位数阈值'!$E$12,4,O68&gt;='分位数阈值'!$F$12,3,O68&gt;='分位数阈值'!$G$12,2,TRUE,1)))</f>
        <v/>
      </c>
      <c r="AM68" s="23">
        <f>IF(R68="","",IF('分位数阈值'!$D$13="","",IFS(R68&lt;='分位数阈值'!$G$13,5,R68&lt;='分位数阈值'!$F$13,4,R68&lt;='分位数阈值'!$E$13,3,R68&lt;='分位数阈值'!$D$13,2,TRUE,1)))</f>
        <v/>
      </c>
      <c r="AN68" s="23">
        <f>IF(S68="","",IF('分位数阈值'!$D$14="","",IFS(S68&lt;='分位数阈值'!$G$14,5,S68&lt;='分位数阈值'!$F$14,4,S68&lt;='分位数阈值'!$E$14,3,S68&lt;='分位数阈值'!$D$14,2,TRUE,1)))</f>
        <v/>
      </c>
      <c r="AO68" s="23">
        <f>IF(T68="","",IF('分位数阈值'!$D$15="","",IFS(T68&lt;='分位数阈值'!$G$15,5,T68&lt;='分位数阈值'!$F$15,4,T68&lt;='分位数阈值'!$E$15,3,T68&lt;='分位数阈值'!$D$15,2,TRUE,1)))</f>
        <v/>
      </c>
      <c r="AP68" s="23">
        <f>IF(U68="","",IF(U68=1,5,1))</f>
        <v/>
      </c>
      <c r="AQ68" s="23">
        <f>IF(V68="","",V68)</f>
        <v/>
      </c>
      <c r="AR68" s="23">
        <f>IF(W68="","",IF('分位数阈值'!$D$16="","",IFS(W68&lt;='分位数阈值'!$G$16,5,W68&lt;='分位数阈值'!$F$16,4,W68&lt;='分位数阈值'!$E$16,3,W68&lt;='分位数阈值'!$D$16,2,TRUE,1)))</f>
        <v/>
      </c>
      <c r="AS68" s="23">
        <f>IF(X68="","",X68)</f>
        <v/>
      </c>
      <c r="AT68" s="23">
        <f>IF(Y68="","",Y68)</f>
        <v/>
      </c>
      <c r="AU68" s="10">
        <f>IF($A68="","",IF(OR(Z68=1,AR68=1,AJ68=1),"淘汰","通过"))</f>
        <v/>
      </c>
      <c r="AV68" s="10">
        <f>IF($A68="","",IF(OR(AA68=1,AR68=1,AND(AK68=1,AI68=1),AO68=1),"淘汰","通过"))</f>
        <v/>
      </c>
      <c r="AW68" s="24">
        <f>IF($A68="","",IF(AU68="淘汰","",ROUND(SUMPRODUCT(Z68:AT68,Z$2:AT$2)/5,1)))</f>
        <v/>
      </c>
      <c r="AX68" s="24">
        <f>IF($A68="","",IF(AV68="淘汰","",ROUND(SUMPRODUCT(Z68:AT68,Z$3:AT$3)/5,1)))</f>
        <v/>
      </c>
    </row>
    <row r="69" ht="15.75" customHeight="1" s="25">
      <c r="A69" s="22" t="n"/>
      <c r="B69" s="20" t="n"/>
      <c r="C69" s="22" t="n"/>
      <c r="D69" s="22" t="n"/>
      <c r="E69" s="22" t="n"/>
      <c r="F69" s="22" t="n"/>
      <c r="G69" s="21" t="n"/>
      <c r="H69" s="21" t="n"/>
      <c r="I69" s="21" t="n"/>
      <c r="J69" s="21" t="n"/>
      <c r="K69" s="21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3">
        <f>IF(E69="","",IF('分位数阈值'!$D$2="","",IFS(E69&gt;='分位数阈值'!$D$2,5,E69&gt;='分位数阈值'!$E$2,4,E69&gt;='分位数阈值'!$F$2,3,E69&gt;='分位数阈值'!$G$2,2,TRUE,1)))</f>
        <v/>
      </c>
      <c r="AA69" s="23">
        <f>IF(F69="","",IF('分位数阈值'!$D$3="","",IFS(F69&gt;='分位数阈值'!$D$3,5,F69&gt;='分位数阈值'!$E$3,4,F69&gt;='分位数阈值'!$F$3,3,F69&gt;='分位数阈值'!$G$3,2,TRUE,1)))</f>
        <v/>
      </c>
      <c r="AB69" s="23">
        <f>IF(G69="","",IF('分位数阈值'!$D$4="","",IFS(G69&gt;='分位数阈值'!$D$4,5,G69&gt;='分位数阈值'!$E$4,4,G69&gt;='分位数阈值'!$F$4,3,G69&gt;='分位数阈值'!$G$4,2,TRUE,1)))</f>
        <v/>
      </c>
      <c r="AC69" s="23">
        <f>IF(H69="","",IF('分位数阈值'!$D$5="","",IFS(H69&gt;='分位数阈值'!$D$5,5,H69&gt;='分位数阈值'!$E$5,4,H69&gt;='分位数阈值'!$F$5,3,H69&gt;='分位数阈值'!$G$5,2,TRUE,1)))</f>
        <v/>
      </c>
      <c r="AD69" s="23">
        <f>IF(I69="","",IF('分位数阈值'!$D$6="","",IFS(I69&gt;='分位数阈值'!$D$6,5,I69&gt;='分位数阈值'!$E$6,4,I69&gt;='分位数阈值'!$F$6,3,I69&gt;='分位数阈值'!$G$6,2,TRUE,1)))</f>
        <v/>
      </c>
      <c r="AE69" s="23">
        <f>IF(J69="","",IF('分位数阈值'!$D$7="","",IFS(J69&gt;='分位数阈值'!$D$7,5,J69&gt;='分位数阈值'!$E$7,4,J69&gt;='分位数阈值'!$F$7,3,J69&gt;='分位数阈值'!$G$7,2,TRUE,1)))</f>
        <v/>
      </c>
      <c r="AF69" s="23">
        <f>IF(K69="","",IF('分位数阈值'!$D$8="","",IFS(K69&gt;='分位数阈值'!$D$8,5,K69&gt;='分位数阈值'!$E$8,4,K69&gt;='分位数阈值'!$F$8,3,K69&gt;='分位数阈值'!$G$8,2,TRUE,1)))</f>
        <v/>
      </c>
      <c r="AG69" s="23">
        <f>IF(L69="","",IF('分位数阈值'!$D$9="","",IFS(L69&gt;='分位数阈值'!$D$9,5,L69&gt;='分位数阈值'!$E$9,4,L69&gt;='分位数阈值'!$F$9,3,L69&gt;='分位数阈值'!$G$9,2,TRUE,1)))</f>
        <v/>
      </c>
      <c r="AH69" s="23">
        <f>IF(M69="","",IF('分位数阈值'!$D$10="","",IFS(M69&lt;='分位数阈值'!$G$10,5,M69&lt;='分位数阈值'!$F$10,4,M69&lt;='分位数阈值'!$E$10,3,M69&lt;='分位数阈值'!$D$10,2,TRUE,1)))</f>
        <v/>
      </c>
      <c r="AI69" s="23">
        <f>IF(N69="","",IF('分位数阈值'!$D$11="","",IFS(N69&lt;='分位数阈值'!$G$11,5,N69&lt;='分位数阈值'!$F$11,4,N69&lt;='分位数阈值'!$E$11,3,N69&lt;='分位数阈值'!$D$11,2,TRUE,1)))</f>
        <v/>
      </c>
      <c r="AJ69" s="23">
        <f>IF(P69="","",IF(P69=1,1,5))</f>
        <v/>
      </c>
      <c r="AK69" s="23">
        <f>IF(Q69="","",IF(Q69=1,1,5))</f>
        <v/>
      </c>
      <c r="AL69" s="23">
        <f>IF(O69="","",IF('分位数阈值'!$D$12="","",IFS(O69&gt;='分位数阈值'!$D$12,5,O69&gt;='分位数阈值'!$E$12,4,O69&gt;='分位数阈值'!$F$12,3,O69&gt;='分位数阈值'!$G$12,2,TRUE,1)))</f>
        <v/>
      </c>
      <c r="AM69" s="23">
        <f>IF(R69="","",IF('分位数阈值'!$D$13="","",IFS(R69&lt;='分位数阈值'!$G$13,5,R69&lt;='分位数阈值'!$F$13,4,R69&lt;='分位数阈值'!$E$13,3,R69&lt;='分位数阈值'!$D$13,2,TRUE,1)))</f>
        <v/>
      </c>
      <c r="AN69" s="23">
        <f>IF(S69="","",IF('分位数阈值'!$D$14="","",IFS(S69&lt;='分位数阈值'!$G$14,5,S69&lt;='分位数阈值'!$F$14,4,S69&lt;='分位数阈值'!$E$14,3,S69&lt;='分位数阈值'!$D$14,2,TRUE,1)))</f>
        <v/>
      </c>
      <c r="AO69" s="23">
        <f>IF(T69="","",IF('分位数阈值'!$D$15="","",IFS(T69&lt;='分位数阈值'!$G$15,5,T69&lt;='分位数阈值'!$F$15,4,T69&lt;='分位数阈值'!$E$15,3,T69&lt;='分位数阈值'!$D$15,2,TRUE,1)))</f>
        <v/>
      </c>
      <c r="AP69" s="23">
        <f>IF(U69="","",IF(U69=1,5,1))</f>
        <v/>
      </c>
      <c r="AQ69" s="23">
        <f>IF(V69="","",V69)</f>
        <v/>
      </c>
      <c r="AR69" s="23">
        <f>IF(W69="","",IF('分位数阈值'!$D$16="","",IFS(W69&lt;='分位数阈值'!$G$16,5,W69&lt;='分位数阈值'!$F$16,4,W69&lt;='分位数阈值'!$E$16,3,W69&lt;='分位数阈值'!$D$16,2,TRUE,1)))</f>
        <v/>
      </c>
      <c r="AS69" s="23">
        <f>IF(X69="","",X69)</f>
        <v/>
      </c>
      <c r="AT69" s="23">
        <f>IF(Y69="","",Y69)</f>
        <v/>
      </c>
      <c r="AU69" s="10">
        <f>IF($A69="","",IF(OR(Z69=1,AR69=1,AJ69=1),"淘汰","通过"))</f>
        <v/>
      </c>
      <c r="AV69" s="10">
        <f>IF($A69="","",IF(OR(AA69=1,AR69=1,AND(AK69=1,AI69=1),AO69=1),"淘汰","通过"))</f>
        <v/>
      </c>
      <c r="AW69" s="24">
        <f>IF($A69="","",IF(AU69="淘汰","",ROUND(SUMPRODUCT(Z69:AT69,Z$2:AT$2)/5,1)))</f>
        <v/>
      </c>
      <c r="AX69" s="24">
        <f>IF($A69="","",IF(AV69="淘汰","",ROUND(SUMPRODUCT(Z69:AT69,Z$3:AT$3)/5,1)))</f>
        <v/>
      </c>
    </row>
    <row r="70" ht="15.75" customHeight="1" s="25">
      <c r="A70" s="22" t="n"/>
      <c r="B70" s="20" t="n"/>
      <c r="C70" s="22" t="n"/>
      <c r="D70" s="22" t="n"/>
      <c r="E70" s="22" t="n"/>
      <c r="F70" s="22" t="n"/>
      <c r="G70" s="21" t="n"/>
      <c r="H70" s="21" t="n"/>
      <c r="I70" s="21" t="n"/>
      <c r="J70" s="21" t="n"/>
      <c r="K70" s="21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3">
        <f>IF(E70="","",IF('分位数阈值'!$D$2="","",IFS(E70&gt;='分位数阈值'!$D$2,5,E70&gt;='分位数阈值'!$E$2,4,E70&gt;='分位数阈值'!$F$2,3,E70&gt;='分位数阈值'!$G$2,2,TRUE,1)))</f>
        <v/>
      </c>
      <c r="AA70" s="23">
        <f>IF(F70="","",IF('分位数阈值'!$D$3="","",IFS(F70&gt;='分位数阈值'!$D$3,5,F70&gt;='分位数阈值'!$E$3,4,F70&gt;='分位数阈值'!$F$3,3,F70&gt;='分位数阈值'!$G$3,2,TRUE,1)))</f>
        <v/>
      </c>
      <c r="AB70" s="23">
        <f>IF(G70="","",IF('分位数阈值'!$D$4="","",IFS(G70&gt;='分位数阈值'!$D$4,5,G70&gt;='分位数阈值'!$E$4,4,G70&gt;='分位数阈值'!$F$4,3,G70&gt;='分位数阈值'!$G$4,2,TRUE,1)))</f>
        <v/>
      </c>
      <c r="AC70" s="23">
        <f>IF(H70="","",IF('分位数阈值'!$D$5="","",IFS(H70&gt;='分位数阈值'!$D$5,5,H70&gt;='分位数阈值'!$E$5,4,H70&gt;='分位数阈值'!$F$5,3,H70&gt;='分位数阈值'!$G$5,2,TRUE,1)))</f>
        <v/>
      </c>
      <c r="AD70" s="23">
        <f>IF(I70="","",IF('分位数阈值'!$D$6="","",IFS(I70&gt;='分位数阈值'!$D$6,5,I70&gt;='分位数阈值'!$E$6,4,I70&gt;='分位数阈值'!$F$6,3,I70&gt;='分位数阈值'!$G$6,2,TRUE,1)))</f>
        <v/>
      </c>
      <c r="AE70" s="23">
        <f>IF(J70="","",IF('分位数阈值'!$D$7="","",IFS(J70&gt;='分位数阈值'!$D$7,5,J70&gt;='分位数阈值'!$E$7,4,J70&gt;='分位数阈值'!$F$7,3,J70&gt;='分位数阈值'!$G$7,2,TRUE,1)))</f>
        <v/>
      </c>
      <c r="AF70" s="23">
        <f>IF(K70="","",IF('分位数阈值'!$D$8="","",IFS(K70&gt;='分位数阈值'!$D$8,5,K70&gt;='分位数阈值'!$E$8,4,K70&gt;='分位数阈值'!$F$8,3,K70&gt;='分位数阈值'!$G$8,2,TRUE,1)))</f>
        <v/>
      </c>
      <c r="AG70" s="23">
        <f>IF(L70="","",IF('分位数阈值'!$D$9="","",IFS(L70&gt;='分位数阈值'!$D$9,5,L70&gt;='分位数阈值'!$E$9,4,L70&gt;='分位数阈值'!$F$9,3,L70&gt;='分位数阈值'!$G$9,2,TRUE,1)))</f>
        <v/>
      </c>
      <c r="AH70" s="23">
        <f>IF(M70="","",IF('分位数阈值'!$D$10="","",IFS(M70&lt;='分位数阈值'!$G$10,5,M70&lt;='分位数阈值'!$F$10,4,M70&lt;='分位数阈值'!$E$10,3,M70&lt;='分位数阈值'!$D$10,2,TRUE,1)))</f>
        <v/>
      </c>
      <c r="AI70" s="23">
        <f>IF(N70="","",IF('分位数阈值'!$D$11="","",IFS(N70&lt;='分位数阈值'!$G$11,5,N70&lt;='分位数阈值'!$F$11,4,N70&lt;='分位数阈值'!$E$11,3,N70&lt;='分位数阈值'!$D$11,2,TRUE,1)))</f>
        <v/>
      </c>
      <c r="AJ70" s="23">
        <f>IF(P70="","",IF(P70=1,1,5))</f>
        <v/>
      </c>
      <c r="AK70" s="23">
        <f>IF(Q70="","",IF(Q70=1,1,5))</f>
        <v/>
      </c>
      <c r="AL70" s="23">
        <f>IF(O70="","",IF('分位数阈值'!$D$12="","",IFS(O70&gt;='分位数阈值'!$D$12,5,O70&gt;='分位数阈值'!$E$12,4,O70&gt;='分位数阈值'!$F$12,3,O70&gt;='分位数阈值'!$G$12,2,TRUE,1)))</f>
        <v/>
      </c>
      <c r="AM70" s="23">
        <f>IF(R70="","",IF('分位数阈值'!$D$13="","",IFS(R70&lt;='分位数阈值'!$G$13,5,R70&lt;='分位数阈值'!$F$13,4,R70&lt;='分位数阈值'!$E$13,3,R70&lt;='分位数阈值'!$D$13,2,TRUE,1)))</f>
        <v/>
      </c>
      <c r="AN70" s="23">
        <f>IF(S70="","",IF('分位数阈值'!$D$14="","",IFS(S70&lt;='分位数阈值'!$G$14,5,S70&lt;='分位数阈值'!$F$14,4,S70&lt;='分位数阈值'!$E$14,3,S70&lt;='分位数阈值'!$D$14,2,TRUE,1)))</f>
        <v/>
      </c>
      <c r="AO70" s="23">
        <f>IF(T70="","",IF('分位数阈值'!$D$15="","",IFS(T70&lt;='分位数阈值'!$G$15,5,T70&lt;='分位数阈值'!$F$15,4,T70&lt;='分位数阈值'!$E$15,3,T70&lt;='分位数阈值'!$D$15,2,TRUE,1)))</f>
        <v/>
      </c>
      <c r="AP70" s="23">
        <f>IF(U70="","",IF(U70=1,5,1))</f>
        <v/>
      </c>
      <c r="AQ70" s="23">
        <f>IF(V70="","",V70)</f>
        <v/>
      </c>
      <c r="AR70" s="23">
        <f>IF(W70="","",IF('分位数阈值'!$D$16="","",IFS(W70&lt;='分位数阈值'!$G$16,5,W70&lt;='分位数阈值'!$F$16,4,W70&lt;='分位数阈值'!$E$16,3,W70&lt;='分位数阈值'!$D$16,2,TRUE,1)))</f>
        <v/>
      </c>
      <c r="AS70" s="23">
        <f>IF(X70="","",X70)</f>
        <v/>
      </c>
      <c r="AT70" s="23">
        <f>IF(Y70="","",Y70)</f>
        <v/>
      </c>
      <c r="AU70" s="10">
        <f>IF($A70="","",IF(OR(Z70=1,AR70=1,AJ70=1),"淘汰","通过"))</f>
        <v/>
      </c>
      <c r="AV70" s="10">
        <f>IF($A70="","",IF(OR(AA70=1,AR70=1,AND(AK70=1,AI70=1),AO70=1),"淘汰","通过"))</f>
        <v/>
      </c>
      <c r="AW70" s="24">
        <f>IF($A70="","",IF(AU70="淘汰","",ROUND(SUMPRODUCT(Z70:AT70,Z$2:AT$2)/5,1)))</f>
        <v/>
      </c>
      <c r="AX70" s="24">
        <f>IF($A70="","",IF(AV70="淘汰","",ROUND(SUMPRODUCT(Z70:AT70,Z$3:AT$3)/5,1)))</f>
        <v/>
      </c>
    </row>
    <row r="71" ht="15.75" customHeight="1" s="25">
      <c r="A71" s="22" t="n"/>
      <c r="B71" s="20" t="n"/>
      <c r="C71" s="22" t="n"/>
      <c r="D71" s="22" t="n"/>
      <c r="E71" s="22" t="n"/>
      <c r="F71" s="22" t="n"/>
      <c r="G71" s="21" t="n"/>
      <c r="H71" s="21" t="n"/>
      <c r="I71" s="21" t="n"/>
      <c r="J71" s="21" t="n"/>
      <c r="K71" s="21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3">
        <f>IF(E71="","",IF('分位数阈值'!$D$2="","",IFS(E71&gt;='分位数阈值'!$D$2,5,E71&gt;='分位数阈值'!$E$2,4,E71&gt;='分位数阈值'!$F$2,3,E71&gt;='分位数阈值'!$G$2,2,TRUE,1)))</f>
        <v/>
      </c>
      <c r="AA71" s="23">
        <f>IF(F71="","",IF('分位数阈值'!$D$3="","",IFS(F71&gt;='分位数阈值'!$D$3,5,F71&gt;='分位数阈值'!$E$3,4,F71&gt;='分位数阈值'!$F$3,3,F71&gt;='分位数阈值'!$G$3,2,TRUE,1)))</f>
        <v/>
      </c>
      <c r="AB71" s="23">
        <f>IF(G71="","",IF('分位数阈值'!$D$4="","",IFS(G71&gt;='分位数阈值'!$D$4,5,G71&gt;='分位数阈值'!$E$4,4,G71&gt;='分位数阈值'!$F$4,3,G71&gt;='分位数阈值'!$G$4,2,TRUE,1)))</f>
        <v/>
      </c>
      <c r="AC71" s="23">
        <f>IF(H71="","",IF('分位数阈值'!$D$5="","",IFS(H71&gt;='分位数阈值'!$D$5,5,H71&gt;='分位数阈值'!$E$5,4,H71&gt;='分位数阈值'!$F$5,3,H71&gt;='分位数阈值'!$G$5,2,TRUE,1)))</f>
        <v/>
      </c>
      <c r="AD71" s="23">
        <f>IF(I71="","",IF('分位数阈值'!$D$6="","",IFS(I71&gt;='分位数阈值'!$D$6,5,I71&gt;='分位数阈值'!$E$6,4,I71&gt;='分位数阈值'!$F$6,3,I71&gt;='分位数阈值'!$G$6,2,TRUE,1)))</f>
        <v/>
      </c>
      <c r="AE71" s="23">
        <f>IF(J71="","",IF('分位数阈值'!$D$7="","",IFS(J71&gt;='分位数阈值'!$D$7,5,J71&gt;='分位数阈值'!$E$7,4,J71&gt;='分位数阈值'!$F$7,3,J71&gt;='分位数阈值'!$G$7,2,TRUE,1)))</f>
        <v/>
      </c>
      <c r="AF71" s="23">
        <f>IF(K71="","",IF('分位数阈值'!$D$8="","",IFS(K71&gt;='分位数阈值'!$D$8,5,K71&gt;='分位数阈值'!$E$8,4,K71&gt;='分位数阈值'!$F$8,3,K71&gt;='分位数阈值'!$G$8,2,TRUE,1)))</f>
        <v/>
      </c>
      <c r="AG71" s="23">
        <f>IF(L71="","",IF('分位数阈值'!$D$9="","",IFS(L71&gt;='分位数阈值'!$D$9,5,L71&gt;='分位数阈值'!$E$9,4,L71&gt;='分位数阈值'!$F$9,3,L71&gt;='分位数阈值'!$G$9,2,TRUE,1)))</f>
        <v/>
      </c>
      <c r="AH71" s="23">
        <f>IF(M71="","",IF('分位数阈值'!$D$10="","",IFS(M71&lt;='分位数阈值'!$G$10,5,M71&lt;='分位数阈值'!$F$10,4,M71&lt;='分位数阈值'!$E$10,3,M71&lt;='分位数阈值'!$D$10,2,TRUE,1)))</f>
        <v/>
      </c>
      <c r="AI71" s="23">
        <f>IF(N71="","",IF('分位数阈值'!$D$11="","",IFS(N71&lt;='分位数阈值'!$G$11,5,N71&lt;='分位数阈值'!$F$11,4,N71&lt;='分位数阈值'!$E$11,3,N71&lt;='分位数阈值'!$D$11,2,TRUE,1)))</f>
        <v/>
      </c>
      <c r="AJ71" s="23">
        <f>IF(P71="","",IF(P71=1,1,5))</f>
        <v/>
      </c>
      <c r="AK71" s="23">
        <f>IF(Q71="","",IF(Q71=1,1,5))</f>
        <v/>
      </c>
      <c r="AL71" s="23">
        <f>IF(O71="","",IF('分位数阈值'!$D$12="","",IFS(O71&gt;='分位数阈值'!$D$12,5,O71&gt;='分位数阈值'!$E$12,4,O71&gt;='分位数阈值'!$F$12,3,O71&gt;='分位数阈值'!$G$12,2,TRUE,1)))</f>
        <v/>
      </c>
      <c r="AM71" s="23">
        <f>IF(R71="","",IF('分位数阈值'!$D$13="","",IFS(R71&lt;='分位数阈值'!$G$13,5,R71&lt;='分位数阈值'!$F$13,4,R71&lt;='分位数阈值'!$E$13,3,R71&lt;='分位数阈值'!$D$13,2,TRUE,1)))</f>
        <v/>
      </c>
      <c r="AN71" s="23">
        <f>IF(S71="","",IF('分位数阈值'!$D$14="","",IFS(S71&lt;='分位数阈值'!$G$14,5,S71&lt;='分位数阈值'!$F$14,4,S71&lt;='分位数阈值'!$E$14,3,S71&lt;='分位数阈值'!$D$14,2,TRUE,1)))</f>
        <v/>
      </c>
      <c r="AO71" s="23">
        <f>IF(T71="","",IF('分位数阈值'!$D$15="","",IFS(T71&lt;='分位数阈值'!$G$15,5,T71&lt;='分位数阈值'!$F$15,4,T71&lt;='分位数阈值'!$E$15,3,T71&lt;='分位数阈值'!$D$15,2,TRUE,1)))</f>
        <v/>
      </c>
      <c r="AP71" s="23">
        <f>IF(U71="","",IF(U71=1,5,1))</f>
        <v/>
      </c>
      <c r="AQ71" s="23">
        <f>IF(V71="","",V71)</f>
        <v/>
      </c>
      <c r="AR71" s="23">
        <f>IF(W71="","",IF('分位数阈值'!$D$16="","",IFS(W71&lt;='分位数阈值'!$G$16,5,W71&lt;='分位数阈值'!$F$16,4,W71&lt;='分位数阈值'!$E$16,3,W71&lt;='分位数阈值'!$D$16,2,TRUE,1)))</f>
        <v/>
      </c>
      <c r="AS71" s="23">
        <f>IF(X71="","",X71)</f>
        <v/>
      </c>
      <c r="AT71" s="23">
        <f>IF(Y71="","",Y71)</f>
        <v/>
      </c>
      <c r="AU71" s="10">
        <f>IF($A71="","",IF(OR(Z71=1,AR71=1,AJ71=1),"淘汰","通过"))</f>
        <v/>
      </c>
      <c r="AV71" s="10">
        <f>IF($A71="","",IF(OR(AA71=1,AR71=1,AND(AK71=1,AI71=1),AO71=1),"淘汰","通过"))</f>
        <v/>
      </c>
      <c r="AW71" s="24">
        <f>IF($A71="","",IF(AU71="淘汰","",ROUND(SUMPRODUCT(Z71:AT71,Z$2:AT$2)/5,1)))</f>
        <v/>
      </c>
      <c r="AX71" s="24">
        <f>IF($A71="","",IF(AV71="淘汰","",ROUND(SUMPRODUCT(Z71:AT71,Z$3:AT$3)/5,1)))</f>
        <v/>
      </c>
    </row>
    <row r="72" ht="15.75" customHeight="1" s="25">
      <c r="A72" s="22" t="n"/>
      <c r="B72" s="20" t="n"/>
      <c r="C72" s="22" t="n"/>
      <c r="D72" s="22" t="n"/>
      <c r="E72" s="22" t="n"/>
      <c r="F72" s="22" t="n"/>
      <c r="G72" s="21" t="n"/>
      <c r="H72" s="21" t="n"/>
      <c r="I72" s="21" t="n"/>
      <c r="J72" s="21" t="n"/>
      <c r="K72" s="21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3">
        <f>IF(E72="","",IF('分位数阈值'!$D$2="","",IFS(E72&gt;='分位数阈值'!$D$2,5,E72&gt;='分位数阈值'!$E$2,4,E72&gt;='分位数阈值'!$F$2,3,E72&gt;='分位数阈值'!$G$2,2,TRUE,1)))</f>
        <v/>
      </c>
      <c r="AA72" s="23">
        <f>IF(F72="","",IF('分位数阈值'!$D$3="","",IFS(F72&gt;='分位数阈值'!$D$3,5,F72&gt;='分位数阈值'!$E$3,4,F72&gt;='分位数阈值'!$F$3,3,F72&gt;='分位数阈值'!$G$3,2,TRUE,1)))</f>
        <v/>
      </c>
      <c r="AB72" s="23">
        <f>IF(G72="","",IF('分位数阈值'!$D$4="","",IFS(G72&gt;='分位数阈值'!$D$4,5,G72&gt;='分位数阈值'!$E$4,4,G72&gt;='分位数阈值'!$F$4,3,G72&gt;='分位数阈值'!$G$4,2,TRUE,1)))</f>
        <v/>
      </c>
      <c r="AC72" s="23">
        <f>IF(H72="","",IF('分位数阈值'!$D$5="","",IFS(H72&gt;='分位数阈值'!$D$5,5,H72&gt;='分位数阈值'!$E$5,4,H72&gt;='分位数阈值'!$F$5,3,H72&gt;='分位数阈值'!$G$5,2,TRUE,1)))</f>
        <v/>
      </c>
      <c r="AD72" s="23">
        <f>IF(I72="","",IF('分位数阈值'!$D$6="","",IFS(I72&gt;='分位数阈值'!$D$6,5,I72&gt;='分位数阈值'!$E$6,4,I72&gt;='分位数阈值'!$F$6,3,I72&gt;='分位数阈值'!$G$6,2,TRUE,1)))</f>
        <v/>
      </c>
      <c r="AE72" s="23">
        <f>IF(J72="","",IF('分位数阈值'!$D$7="","",IFS(J72&gt;='分位数阈值'!$D$7,5,J72&gt;='分位数阈值'!$E$7,4,J72&gt;='分位数阈值'!$F$7,3,J72&gt;='分位数阈值'!$G$7,2,TRUE,1)))</f>
        <v/>
      </c>
      <c r="AF72" s="23">
        <f>IF(K72="","",IF('分位数阈值'!$D$8="","",IFS(K72&gt;='分位数阈值'!$D$8,5,K72&gt;='分位数阈值'!$E$8,4,K72&gt;='分位数阈值'!$F$8,3,K72&gt;='分位数阈值'!$G$8,2,TRUE,1)))</f>
        <v/>
      </c>
      <c r="AG72" s="23">
        <f>IF(L72="","",IF('分位数阈值'!$D$9="","",IFS(L72&gt;='分位数阈值'!$D$9,5,L72&gt;='分位数阈值'!$E$9,4,L72&gt;='分位数阈值'!$F$9,3,L72&gt;='分位数阈值'!$G$9,2,TRUE,1)))</f>
        <v/>
      </c>
      <c r="AH72" s="23">
        <f>IF(M72="","",IF('分位数阈值'!$D$10="","",IFS(M72&lt;='分位数阈值'!$G$10,5,M72&lt;='分位数阈值'!$F$10,4,M72&lt;='分位数阈值'!$E$10,3,M72&lt;='分位数阈值'!$D$10,2,TRUE,1)))</f>
        <v/>
      </c>
      <c r="AI72" s="23">
        <f>IF(N72="","",IF('分位数阈值'!$D$11="","",IFS(N72&lt;='分位数阈值'!$G$11,5,N72&lt;='分位数阈值'!$F$11,4,N72&lt;='分位数阈值'!$E$11,3,N72&lt;='分位数阈值'!$D$11,2,TRUE,1)))</f>
        <v/>
      </c>
      <c r="AJ72" s="23">
        <f>IF(P72="","",IF(P72=1,1,5))</f>
        <v/>
      </c>
      <c r="AK72" s="23">
        <f>IF(Q72="","",IF(Q72=1,1,5))</f>
        <v/>
      </c>
      <c r="AL72" s="23">
        <f>IF(O72="","",IF('分位数阈值'!$D$12="","",IFS(O72&gt;='分位数阈值'!$D$12,5,O72&gt;='分位数阈值'!$E$12,4,O72&gt;='分位数阈值'!$F$12,3,O72&gt;='分位数阈值'!$G$12,2,TRUE,1)))</f>
        <v/>
      </c>
      <c r="AM72" s="23">
        <f>IF(R72="","",IF('分位数阈值'!$D$13="","",IFS(R72&lt;='分位数阈值'!$G$13,5,R72&lt;='分位数阈值'!$F$13,4,R72&lt;='分位数阈值'!$E$13,3,R72&lt;='分位数阈值'!$D$13,2,TRUE,1)))</f>
        <v/>
      </c>
      <c r="AN72" s="23">
        <f>IF(S72="","",IF('分位数阈值'!$D$14="","",IFS(S72&lt;='分位数阈值'!$G$14,5,S72&lt;='分位数阈值'!$F$14,4,S72&lt;='分位数阈值'!$E$14,3,S72&lt;='分位数阈值'!$D$14,2,TRUE,1)))</f>
        <v/>
      </c>
      <c r="AO72" s="23">
        <f>IF(T72="","",IF('分位数阈值'!$D$15="","",IFS(T72&lt;='分位数阈值'!$G$15,5,T72&lt;='分位数阈值'!$F$15,4,T72&lt;='分位数阈值'!$E$15,3,T72&lt;='分位数阈值'!$D$15,2,TRUE,1)))</f>
        <v/>
      </c>
      <c r="AP72" s="23">
        <f>IF(U72="","",IF(U72=1,5,1))</f>
        <v/>
      </c>
      <c r="AQ72" s="23">
        <f>IF(V72="","",V72)</f>
        <v/>
      </c>
      <c r="AR72" s="23">
        <f>IF(W72="","",IF('分位数阈值'!$D$16="","",IFS(W72&lt;='分位数阈值'!$G$16,5,W72&lt;='分位数阈值'!$F$16,4,W72&lt;='分位数阈值'!$E$16,3,W72&lt;='分位数阈值'!$D$16,2,TRUE,1)))</f>
        <v/>
      </c>
      <c r="AS72" s="23">
        <f>IF(X72="","",X72)</f>
        <v/>
      </c>
      <c r="AT72" s="23">
        <f>IF(Y72="","",Y72)</f>
        <v/>
      </c>
      <c r="AU72" s="10">
        <f>IF($A72="","",IF(OR(Z72=1,AR72=1,AJ72=1),"淘汰","通过"))</f>
        <v/>
      </c>
      <c r="AV72" s="10">
        <f>IF($A72="","",IF(OR(AA72=1,AR72=1,AND(AK72=1,AI72=1),AO72=1),"淘汰","通过"))</f>
        <v/>
      </c>
      <c r="AW72" s="24">
        <f>IF($A72="","",IF(AU72="淘汰","",ROUND(SUMPRODUCT(Z72:AT72,Z$2:AT$2)/5,1)))</f>
        <v/>
      </c>
      <c r="AX72" s="24">
        <f>IF($A72="","",IF(AV72="淘汰","",ROUND(SUMPRODUCT(Z72:AT72,Z$3:AT$3)/5,1)))</f>
        <v/>
      </c>
    </row>
    <row r="73" ht="15.75" customHeight="1" s="25">
      <c r="A73" s="22" t="n"/>
      <c r="B73" s="20" t="n"/>
      <c r="C73" s="22" t="n"/>
      <c r="D73" s="22" t="n"/>
      <c r="E73" s="22" t="n"/>
      <c r="F73" s="22" t="n"/>
      <c r="G73" s="21" t="n"/>
      <c r="H73" s="21" t="n"/>
      <c r="I73" s="21" t="n"/>
      <c r="J73" s="21" t="n"/>
      <c r="K73" s="21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3">
        <f>IF(E73="","",IF('分位数阈值'!$D$2="","",IFS(E73&gt;='分位数阈值'!$D$2,5,E73&gt;='分位数阈值'!$E$2,4,E73&gt;='分位数阈值'!$F$2,3,E73&gt;='分位数阈值'!$G$2,2,TRUE,1)))</f>
        <v/>
      </c>
      <c r="AA73" s="23">
        <f>IF(F73="","",IF('分位数阈值'!$D$3="","",IFS(F73&gt;='分位数阈值'!$D$3,5,F73&gt;='分位数阈值'!$E$3,4,F73&gt;='分位数阈值'!$F$3,3,F73&gt;='分位数阈值'!$G$3,2,TRUE,1)))</f>
        <v/>
      </c>
      <c r="AB73" s="23">
        <f>IF(G73="","",IF('分位数阈值'!$D$4="","",IFS(G73&gt;='分位数阈值'!$D$4,5,G73&gt;='分位数阈值'!$E$4,4,G73&gt;='分位数阈值'!$F$4,3,G73&gt;='分位数阈值'!$G$4,2,TRUE,1)))</f>
        <v/>
      </c>
      <c r="AC73" s="23">
        <f>IF(H73="","",IF('分位数阈值'!$D$5="","",IFS(H73&gt;='分位数阈值'!$D$5,5,H73&gt;='分位数阈值'!$E$5,4,H73&gt;='分位数阈值'!$F$5,3,H73&gt;='分位数阈值'!$G$5,2,TRUE,1)))</f>
        <v/>
      </c>
      <c r="AD73" s="23">
        <f>IF(I73="","",IF('分位数阈值'!$D$6="","",IFS(I73&gt;='分位数阈值'!$D$6,5,I73&gt;='分位数阈值'!$E$6,4,I73&gt;='分位数阈值'!$F$6,3,I73&gt;='分位数阈值'!$G$6,2,TRUE,1)))</f>
        <v/>
      </c>
      <c r="AE73" s="23">
        <f>IF(J73="","",IF('分位数阈值'!$D$7="","",IFS(J73&gt;='分位数阈值'!$D$7,5,J73&gt;='分位数阈值'!$E$7,4,J73&gt;='分位数阈值'!$F$7,3,J73&gt;='分位数阈值'!$G$7,2,TRUE,1)))</f>
        <v/>
      </c>
      <c r="AF73" s="23">
        <f>IF(K73="","",IF('分位数阈值'!$D$8="","",IFS(K73&gt;='分位数阈值'!$D$8,5,K73&gt;='分位数阈值'!$E$8,4,K73&gt;='分位数阈值'!$F$8,3,K73&gt;='分位数阈值'!$G$8,2,TRUE,1)))</f>
        <v/>
      </c>
      <c r="AG73" s="23">
        <f>IF(L73="","",IF('分位数阈值'!$D$9="","",IFS(L73&gt;='分位数阈值'!$D$9,5,L73&gt;='分位数阈值'!$E$9,4,L73&gt;='分位数阈值'!$F$9,3,L73&gt;='分位数阈值'!$G$9,2,TRUE,1)))</f>
        <v/>
      </c>
      <c r="AH73" s="23">
        <f>IF(M73="","",IF('分位数阈值'!$D$10="","",IFS(M73&lt;='分位数阈值'!$G$10,5,M73&lt;='分位数阈值'!$F$10,4,M73&lt;='分位数阈值'!$E$10,3,M73&lt;='分位数阈值'!$D$10,2,TRUE,1)))</f>
        <v/>
      </c>
      <c r="AI73" s="23">
        <f>IF(N73="","",IF('分位数阈值'!$D$11="","",IFS(N73&lt;='分位数阈值'!$G$11,5,N73&lt;='分位数阈值'!$F$11,4,N73&lt;='分位数阈值'!$E$11,3,N73&lt;='分位数阈值'!$D$11,2,TRUE,1)))</f>
        <v/>
      </c>
      <c r="AJ73" s="23">
        <f>IF(P73="","",IF(P73=1,1,5))</f>
        <v/>
      </c>
      <c r="AK73" s="23">
        <f>IF(Q73="","",IF(Q73=1,1,5))</f>
        <v/>
      </c>
      <c r="AL73" s="23">
        <f>IF(O73="","",IF('分位数阈值'!$D$12="","",IFS(O73&gt;='分位数阈值'!$D$12,5,O73&gt;='分位数阈值'!$E$12,4,O73&gt;='分位数阈值'!$F$12,3,O73&gt;='分位数阈值'!$G$12,2,TRUE,1)))</f>
        <v/>
      </c>
      <c r="AM73" s="23">
        <f>IF(R73="","",IF('分位数阈值'!$D$13="","",IFS(R73&lt;='分位数阈值'!$G$13,5,R73&lt;='分位数阈值'!$F$13,4,R73&lt;='分位数阈值'!$E$13,3,R73&lt;='分位数阈值'!$D$13,2,TRUE,1)))</f>
        <v/>
      </c>
      <c r="AN73" s="23">
        <f>IF(S73="","",IF('分位数阈值'!$D$14="","",IFS(S73&lt;='分位数阈值'!$G$14,5,S73&lt;='分位数阈值'!$F$14,4,S73&lt;='分位数阈值'!$E$14,3,S73&lt;='分位数阈值'!$D$14,2,TRUE,1)))</f>
        <v/>
      </c>
      <c r="AO73" s="23">
        <f>IF(T73="","",IF('分位数阈值'!$D$15="","",IFS(T73&lt;='分位数阈值'!$G$15,5,T73&lt;='分位数阈值'!$F$15,4,T73&lt;='分位数阈值'!$E$15,3,T73&lt;='分位数阈值'!$D$15,2,TRUE,1)))</f>
        <v/>
      </c>
      <c r="AP73" s="23">
        <f>IF(U73="","",IF(U73=1,5,1))</f>
        <v/>
      </c>
      <c r="AQ73" s="23">
        <f>IF(V73="","",V73)</f>
        <v/>
      </c>
      <c r="AR73" s="23">
        <f>IF(W73="","",IF('分位数阈值'!$D$16="","",IFS(W73&lt;='分位数阈值'!$G$16,5,W73&lt;='分位数阈值'!$F$16,4,W73&lt;='分位数阈值'!$E$16,3,W73&lt;='分位数阈值'!$D$16,2,TRUE,1)))</f>
        <v/>
      </c>
      <c r="AS73" s="23">
        <f>IF(X73="","",X73)</f>
        <v/>
      </c>
      <c r="AT73" s="23">
        <f>IF(Y73="","",Y73)</f>
        <v/>
      </c>
      <c r="AU73" s="10">
        <f>IF($A73="","",IF(OR(Z73=1,AR73=1,AJ73=1),"淘汰","通过"))</f>
        <v/>
      </c>
      <c r="AV73" s="10">
        <f>IF($A73="","",IF(OR(AA73=1,AR73=1,AND(AK73=1,AI73=1),AO73=1),"淘汰","通过"))</f>
        <v/>
      </c>
      <c r="AW73" s="24">
        <f>IF($A73="","",IF(AU73="淘汰","",ROUND(SUMPRODUCT(Z73:AT73,Z$2:AT$2)/5,1)))</f>
        <v/>
      </c>
      <c r="AX73" s="24">
        <f>IF($A73="","",IF(AV73="淘汰","",ROUND(SUMPRODUCT(Z73:AT73,Z$3:AT$3)/5,1)))</f>
        <v/>
      </c>
    </row>
    <row r="74" ht="15.75" customHeight="1" s="25">
      <c r="A74" s="22" t="n"/>
      <c r="B74" s="20" t="n"/>
      <c r="C74" s="22" t="n"/>
      <c r="D74" s="22" t="n"/>
      <c r="E74" s="22" t="n"/>
      <c r="F74" s="22" t="n"/>
      <c r="G74" s="21" t="n"/>
      <c r="H74" s="21" t="n"/>
      <c r="I74" s="21" t="n"/>
      <c r="J74" s="21" t="n"/>
      <c r="K74" s="21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3">
        <f>IF(E74="","",IF('分位数阈值'!$D$2="","",IFS(E74&gt;='分位数阈值'!$D$2,5,E74&gt;='分位数阈值'!$E$2,4,E74&gt;='分位数阈值'!$F$2,3,E74&gt;='分位数阈值'!$G$2,2,TRUE,1)))</f>
        <v/>
      </c>
      <c r="AA74" s="23">
        <f>IF(F74="","",IF('分位数阈值'!$D$3="","",IFS(F74&gt;='分位数阈值'!$D$3,5,F74&gt;='分位数阈值'!$E$3,4,F74&gt;='分位数阈值'!$F$3,3,F74&gt;='分位数阈值'!$G$3,2,TRUE,1)))</f>
        <v/>
      </c>
      <c r="AB74" s="23">
        <f>IF(G74="","",IF('分位数阈值'!$D$4="","",IFS(G74&gt;='分位数阈值'!$D$4,5,G74&gt;='分位数阈值'!$E$4,4,G74&gt;='分位数阈值'!$F$4,3,G74&gt;='分位数阈值'!$G$4,2,TRUE,1)))</f>
        <v/>
      </c>
      <c r="AC74" s="23">
        <f>IF(H74="","",IF('分位数阈值'!$D$5="","",IFS(H74&gt;='分位数阈值'!$D$5,5,H74&gt;='分位数阈值'!$E$5,4,H74&gt;='分位数阈值'!$F$5,3,H74&gt;='分位数阈值'!$G$5,2,TRUE,1)))</f>
        <v/>
      </c>
      <c r="AD74" s="23">
        <f>IF(I74="","",IF('分位数阈值'!$D$6="","",IFS(I74&gt;='分位数阈值'!$D$6,5,I74&gt;='分位数阈值'!$E$6,4,I74&gt;='分位数阈值'!$F$6,3,I74&gt;='分位数阈值'!$G$6,2,TRUE,1)))</f>
        <v/>
      </c>
      <c r="AE74" s="23">
        <f>IF(J74="","",IF('分位数阈值'!$D$7="","",IFS(J74&gt;='分位数阈值'!$D$7,5,J74&gt;='分位数阈值'!$E$7,4,J74&gt;='分位数阈值'!$F$7,3,J74&gt;='分位数阈值'!$G$7,2,TRUE,1)))</f>
        <v/>
      </c>
      <c r="AF74" s="23">
        <f>IF(K74="","",IF('分位数阈值'!$D$8="","",IFS(K74&gt;='分位数阈值'!$D$8,5,K74&gt;='分位数阈值'!$E$8,4,K74&gt;='分位数阈值'!$F$8,3,K74&gt;='分位数阈值'!$G$8,2,TRUE,1)))</f>
        <v/>
      </c>
      <c r="AG74" s="23">
        <f>IF(L74="","",IF('分位数阈值'!$D$9="","",IFS(L74&gt;='分位数阈值'!$D$9,5,L74&gt;='分位数阈值'!$E$9,4,L74&gt;='分位数阈值'!$F$9,3,L74&gt;='分位数阈值'!$G$9,2,TRUE,1)))</f>
        <v/>
      </c>
      <c r="AH74" s="23">
        <f>IF(M74="","",IF('分位数阈值'!$D$10="","",IFS(M74&lt;='分位数阈值'!$G$10,5,M74&lt;='分位数阈值'!$F$10,4,M74&lt;='分位数阈值'!$E$10,3,M74&lt;='分位数阈值'!$D$10,2,TRUE,1)))</f>
        <v/>
      </c>
      <c r="AI74" s="23">
        <f>IF(N74="","",IF('分位数阈值'!$D$11="","",IFS(N74&lt;='分位数阈值'!$G$11,5,N74&lt;='分位数阈值'!$F$11,4,N74&lt;='分位数阈值'!$E$11,3,N74&lt;='分位数阈值'!$D$11,2,TRUE,1)))</f>
        <v/>
      </c>
      <c r="AJ74" s="23">
        <f>IF(P74="","",IF(P74=1,1,5))</f>
        <v/>
      </c>
      <c r="AK74" s="23">
        <f>IF(Q74="","",IF(Q74=1,1,5))</f>
        <v/>
      </c>
      <c r="AL74" s="23">
        <f>IF(O74="","",IF('分位数阈值'!$D$12="","",IFS(O74&gt;='分位数阈值'!$D$12,5,O74&gt;='分位数阈值'!$E$12,4,O74&gt;='分位数阈值'!$F$12,3,O74&gt;='分位数阈值'!$G$12,2,TRUE,1)))</f>
        <v/>
      </c>
      <c r="AM74" s="23">
        <f>IF(R74="","",IF('分位数阈值'!$D$13="","",IFS(R74&lt;='分位数阈值'!$G$13,5,R74&lt;='分位数阈值'!$F$13,4,R74&lt;='分位数阈值'!$E$13,3,R74&lt;='分位数阈值'!$D$13,2,TRUE,1)))</f>
        <v/>
      </c>
      <c r="AN74" s="23">
        <f>IF(S74="","",IF('分位数阈值'!$D$14="","",IFS(S74&lt;='分位数阈值'!$G$14,5,S74&lt;='分位数阈值'!$F$14,4,S74&lt;='分位数阈值'!$E$14,3,S74&lt;='分位数阈值'!$D$14,2,TRUE,1)))</f>
        <v/>
      </c>
      <c r="AO74" s="23">
        <f>IF(T74="","",IF('分位数阈值'!$D$15="","",IFS(T74&lt;='分位数阈值'!$G$15,5,T74&lt;='分位数阈值'!$F$15,4,T74&lt;='分位数阈值'!$E$15,3,T74&lt;='分位数阈值'!$D$15,2,TRUE,1)))</f>
        <v/>
      </c>
      <c r="AP74" s="23">
        <f>IF(U74="","",IF(U74=1,5,1))</f>
        <v/>
      </c>
      <c r="AQ74" s="23">
        <f>IF(V74="","",V74)</f>
        <v/>
      </c>
      <c r="AR74" s="23">
        <f>IF(W74="","",IF('分位数阈值'!$D$16="","",IFS(W74&lt;='分位数阈值'!$G$16,5,W74&lt;='分位数阈值'!$F$16,4,W74&lt;='分位数阈值'!$E$16,3,W74&lt;='分位数阈值'!$D$16,2,TRUE,1)))</f>
        <v/>
      </c>
      <c r="AS74" s="23">
        <f>IF(X74="","",X74)</f>
        <v/>
      </c>
      <c r="AT74" s="23">
        <f>IF(Y74="","",Y74)</f>
        <v/>
      </c>
      <c r="AU74" s="10">
        <f>IF($A74="","",IF(OR(Z74=1,AR74=1,AJ74=1),"淘汰","通过"))</f>
        <v/>
      </c>
      <c r="AV74" s="10">
        <f>IF($A74="","",IF(OR(AA74=1,AR74=1,AND(AK74=1,AI74=1),AO74=1),"淘汰","通过"))</f>
        <v/>
      </c>
      <c r="AW74" s="24">
        <f>IF($A74="","",IF(AU74="淘汰","",ROUND(SUMPRODUCT(Z74:AT74,Z$2:AT$2)/5,1)))</f>
        <v/>
      </c>
      <c r="AX74" s="24">
        <f>IF($A74="","",IF(AV74="淘汰","",ROUND(SUMPRODUCT(Z74:AT74,Z$3:AT$3)/5,1)))</f>
        <v/>
      </c>
    </row>
    <row r="75" ht="15.75" customHeight="1" s="25">
      <c r="A75" s="22" t="n"/>
      <c r="B75" s="20" t="n"/>
      <c r="C75" s="22" t="n"/>
      <c r="D75" s="22" t="n"/>
      <c r="E75" s="22" t="n"/>
      <c r="F75" s="22" t="n"/>
      <c r="G75" s="21" t="n"/>
      <c r="H75" s="21" t="n"/>
      <c r="I75" s="21" t="n"/>
      <c r="J75" s="21" t="n"/>
      <c r="K75" s="21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3">
        <f>IF(E75="","",IF('分位数阈值'!$D$2="","",IFS(E75&gt;='分位数阈值'!$D$2,5,E75&gt;='分位数阈值'!$E$2,4,E75&gt;='分位数阈值'!$F$2,3,E75&gt;='分位数阈值'!$G$2,2,TRUE,1)))</f>
        <v/>
      </c>
      <c r="AA75" s="23">
        <f>IF(F75="","",IF('分位数阈值'!$D$3="","",IFS(F75&gt;='分位数阈值'!$D$3,5,F75&gt;='分位数阈值'!$E$3,4,F75&gt;='分位数阈值'!$F$3,3,F75&gt;='分位数阈值'!$G$3,2,TRUE,1)))</f>
        <v/>
      </c>
      <c r="AB75" s="23">
        <f>IF(G75="","",IF('分位数阈值'!$D$4="","",IFS(G75&gt;='分位数阈值'!$D$4,5,G75&gt;='分位数阈值'!$E$4,4,G75&gt;='分位数阈值'!$F$4,3,G75&gt;='分位数阈值'!$G$4,2,TRUE,1)))</f>
        <v/>
      </c>
      <c r="AC75" s="23">
        <f>IF(H75="","",IF('分位数阈值'!$D$5="","",IFS(H75&gt;='分位数阈值'!$D$5,5,H75&gt;='分位数阈值'!$E$5,4,H75&gt;='分位数阈值'!$F$5,3,H75&gt;='分位数阈值'!$G$5,2,TRUE,1)))</f>
        <v/>
      </c>
      <c r="AD75" s="23">
        <f>IF(I75="","",IF('分位数阈值'!$D$6="","",IFS(I75&gt;='分位数阈值'!$D$6,5,I75&gt;='分位数阈值'!$E$6,4,I75&gt;='分位数阈值'!$F$6,3,I75&gt;='分位数阈值'!$G$6,2,TRUE,1)))</f>
        <v/>
      </c>
      <c r="AE75" s="23">
        <f>IF(J75="","",IF('分位数阈值'!$D$7="","",IFS(J75&gt;='分位数阈值'!$D$7,5,J75&gt;='分位数阈值'!$E$7,4,J75&gt;='分位数阈值'!$F$7,3,J75&gt;='分位数阈值'!$G$7,2,TRUE,1)))</f>
        <v/>
      </c>
      <c r="AF75" s="23">
        <f>IF(K75="","",IF('分位数阈值'!$D$8="","",IFS(K75&gt;='分位数阈值'!$D$8,5,K75&gt;='分位数阈值'!$E$8,4,K75&gt;='分位数阈值'!$F$8,3,K75&gt;='分位数阈值'!$G$8,2,TRUE,1)))</f>
        <v/>
      </c>
      <c r="AG75" s="23">
        <f>IF(L75="","",IF('分位数阈值'!$D$9="","",IFS(L75&gt;='分位数阈值'!$D$9,5,L75&gt;='分位数阈值'!$E$9,4,L75&gt;='分位数阈值'!$F$9,3,L75&gt;='分位数阈值'!$G$9,2,TRUE,1)))</f>
        <v/>
      </c>
      <c r="AH75" s="23">
        <f>IF(M75="","",IF('分位数阈值'!$D$10="","",IFS(M75&lt;='分位数阈值'!$G$10,5,M75&lt;='分位数阈值'!$F$10,4,M75&lt;='分位数阈值'!$E$10,3,M75&lt;='分位数阈值'!$D$10,2,TRUE,1)))</f>
        <v/>
      </c>
      <c r="AI75" s="23">
        <f>IF(N75="","",IF('分位数阈值'!$D$11="","",IFS(N75&lt;='分位数阈值'!$G$11,5,N75&lt;='分位数阈值'!$F$11,4,N75&lt;='分位数阈值'!$E$11,3,N75&lt;='分位数阈值'!$D$11,2,TRUE,1)))</f>
        <v/>
      </c>
      <c r="AJ75" s="23">
        <f>IF(P75="","",IF(P75=1,1,5))</f>
        <v/>
      </c>
      <c r="AK75" s="23">
        <f>IF(Q75="","",IF(Q75=1,1,5))</f>
        <v/>
      </c>
      <c r="AL75" s="23">
        <f>IF(O75="","",IF('分位数阈值'!$D$12="","",IFS(O75&gt;='分位数阈值'!$D$12,5,O75&gt;='分位数阈值'!$E$12,4,O75&gt;='分位数阈值'!$F$12,3,O75&gt;='分位数阈值'!$G$12,2,TRUE,1)))</f>
        <v/>
      </c>
      <c r="AM75" s="23">
        <f>IF(R75="","",IF('分位数阈值'!$D$13="","",IFS(R75&lt;='分位数阈值'!$G$13,5,R75&lt;='分位数阈值'!$F$13,4,R75&lt;='分位数阈值'!$E$13,3,R75&lt;='分位数阈值'!$D$13,2,TRUE,1)))</f>
        <v/>
      </c>
      <c r="AN75" s="23">
        <f>IF(S75="","",IF('分位数阈值'!$D$14="","",IFS(S75&lt;='分位数阈值'!$G$14,5,S75&lt;='分位数阈值'!$F$14,4,S75&lt;='分位数阈值'!$E$14,3,S75&lt;='分位数阈值'!$D$14,2,TRUE,1)))</f>
        <v/>
      </c>
      <c r="AO75" s="23">
        <f>IF(T75="","",IF('分位数阈值'!$D$15="","",IFS(T75&lt;='分位数阈值'!$G$15,5,T75&lt;='分位数阈值'!$F$15,4,T75&lt;='分位数阈值'!$E$15,3,T75&lt;='分位数阈值'!$D$15,2,TRUE,1)))</f>
        <v/>
      </c>
      <c r="AP75" s="23">
        <f>IF(U75="","",IF(U75=1,5,1))</f>
        <v/>
      </c>
      <c r="AQ75" s="23">
        <f>IF(V75="","",V75)</f>
        <v/>
      </c>
      <c r="AR75" s="23">
        <f>IF(W75="","",IF('分位数阈值'!$D$16="","",IFS(W75&lt;='分位数阈值'!$G$16,5,W75&lt;='分位数阈值'!$F$16,4,W75&lt;='分位数阈值'!$E$16,3,W75&lt;='分位数阈值'!$D$16,2,TRUE,1)))</f>
        <v/>
      </c>
      <c r="AS75" s="23">
        <f>IF(X75="","",X75)</f>
        <v/>
      </c>
      <c r="AT75" s="23">
        <f>IF(Y75="","",Y75)</f>
        <v/>
      </c>
      <c r="AU75" s="10">
        <f>IF($A75="","",IF(OR(Z75=1,AR75=1,AJ75=1),"淘汰","通过"))</f>
        <v/>
      </c>
      <c r="AV75" s="10">
        <f>IF($A75="","",IF(OR(AA75=1,AR75=1,AND(AK75=1,AI75=1),AO75=1),"淘汰","通过"))</f>
        <v/>
      </c>
      <c r="AW75" s="24">
        <f>IF($A75="","",IF(AU75="淘汰","",ROUND(SUMPRODUCT(Z75:AT75,Z$2:AT$2)/5,1)))</f>
        <v/>
      </c>
      <c r="AX75" s="24">
        <f>IF($A75="","",IF(AV75="淘汰","",ROUND(SUMPRODUCT(Z75:AT75,Z$3:AT$3)/5,1)))</f>
        <v/>
      </c>
    </row>
    <row r="76" ht="15.75" customHeight="1" s="25">
      <c r="A76" s="22" t="n"/>
      <c r="B76" s="20" t="n"/>
      <c r="C76" s="22" t="n"/>
      <c r="D76" s="22" t="n"/>
      <c r="E76" s="22" t="n"/>
      <c r="F76" s="22" t="n"/>
      <c r="G76" s="21" t="n"/>
      <c r="H76" s="21" t="n"/>
      <c r="I76" s="21" t="n"/>
      <c r="J76" s="21" t="n"/>
      <c r="K76" s="21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3">
        <f>IF(E76="","",IF('分位数阈值'!$D$2="","",IFS(E76&gt;='分位数阈值'!$D$2,5,E76&gt;='分位数阈值'!$E$2,4,E76&gt;='分位数阈值'!$F$2,3,E76&gt;='分位数阈值'!$G$2,2,TRUE,1)))</f>
        <v/>
      </c>
      <c r="AA76" s="23">
        <f>IF(F76="","",IF('分位数阈值'!$D$3="","",IFS(F76&gt;='分位数阈值'!$D$3,5,F76&gt;='分位数阈值'!$E$3,4,F76&gt;='分位数阈值'!$F$3,3,F76&gt;='分位数阈值'!$G$3,2,TRUE,1)))</f>
        <v/>
      </c>
      <c r="AB76" s="23">
        <f>IF(G76="","",IF('分位数阈值'!$D$4="","",IFS(G76&gt;='分位数阈值'!$D$4,5,G76&gt;='分位数阈值'!$E$4,4,G76&gt;='分位数阈值'!$F$4,3,G76&gt;='分位数阈值'!$G$4,2,TRUE,1)))</f>
        <v/>
      </c>
      <c r="AC76" s="23">
        <f>IF(H76="","",IF('分位数阈值'!$D$5="","",IFS(H76&gt;='分位数阈值'!$D$5,5,H76&gt;='分位数阈值'!$E$5,4,H76&gt;='分位数阈值'!$F$5,3,H76&gt;='分位数阈值'!$G$5,2,TRUE,1)))</f>
        <v/>
      </c>
      <c r="AD76" s="23">
        <f>IF(I76="","",IF('分位数阈值'!$D$6="","",IFS(I76&gt;='分位数阈值'!$D$6,5,I76&gt;='分位数阈值'!$E$6,4,I76&gt;='分位数阈值'!$F$6,3,I76&gt;='分位数阈值'!$G$6,2,TRUE,1)))</f>
        <v/>
      </c>
      <c r="AE76" s="23">
        <f>IF(J76="","",IF('分位数阈值'!$D$7="","",IFS(J76&gt;='分位数阈值'!$D$7,5,J76&gt;='分位数阈值'!$E$7,4,J76&gt;='分位数阈值'!$F$7,3,J76&gt;='分位数阈值'!$G$7,2,TRUE,1)))</f>
        <v/>
      </c>
      <c r="AF76" s="23">
        <f>IF(K76="","",IF('分位数阈值'!$D$8="","",IFS(K76&gt;='分位数阈值'!$D$8,5,K76&gt;='分位数阈值'!$E$8,4,K76&gt;='分位数阈值'!$F$8,3,K76&gt;='分位数阈值'!$G$8,2,TRUE,1)))</f>
        <v/>
      </c>
      <c r="AG76" s="23">
        <f>IF(L76="","",IF('分位数阈值'!$D$9="","",IFS(L76&gt;='分位数阈值'!$D$9,5,L76&gt;='分位数阈值'!$E$9,4,L76&gt;='分位数阈值'!$F$9,3,L76&gt;='分位数阈值'!$G$9,2,TRUE,1)))</f>
        <v/>
      </c>
      <c r="AH76" s="23">
        <f>IF(M76="","",IF('分位数阈值'!$D$10="","",IFS(M76&lt;='分位数阈值'!$G$10,5,M76&lt;='分位数阈值'!$F$10,4,M76&lt;='分位数阈值'!$E$10,3,M76&lt;='分位数阈值'!$D$10,2,TRUE,1)))</f>
        <v/>
      </c>
      <c r="AI76" s="23">
        <f>IF(N76="","",IF('分位数阈值'!$D$11="","",IFS(N76&lt;='分位数阈值'!$G$11,5,N76&lt;='分位数阈值'!$F$11,4,N76&lt;='分位数阈值'!$E$11,3,N76&lt;='分位数阈值'!$D$11,2,TRUE,1)))</f>
        <v/>
      </c>
      <c r="AJ76" s="23">
        <f>IF(P76="","",IF(P76=1,1,5))</f>
        <v/>
      </c>
      <c r="AK76" s="23">
        <f>IF(Q76="","",IF(Q76=1,1,5))</f>
        <v/>
      </c>
      <c r="AL76" s="23">
        <f>IF(O76="","",IF('分位数阈值'!$D$12="","",IFS(O76&gt;='分位数阈值'!$D$12,5,O76&gt;='分位数阈值'!$E$12,4,O76&gt;='分位数阈值'!$F$12,3,O76&gt;='分位数阈值'!$G$12,2,TRUE,1)))</f>
        <v/>
      </c>
      <c r="AM76" s="23">
        <f>IF(R76="","",IF('分位数阈值'!$D$13="","",IFS(R76&lt;='分位数阈值'!$G$13,5,R76&lt;='分位数阈值'!$F$13,4,R76&lt;='分位数阈值'!$E$13,3,R76&lt;='分位数阈值'!$D$13,2,TRUE,1)))</f>
        <v/>
      </c>
      <c r="AN76" s="23">
        <f>IF(S76="","",IF('分位数阈值'!$D$14="","",IFS(S76&lt;='分位数阈值'!$G$14,5,S76&lt;='分位数阈值'!$F$14,4,S76&lt;='分位数阈值'!$E$14,3,S76&lt;='分位数阈值'!$D$14,2,TRUE,1)))</f>
        <v/>
      </c>
      <c r="AO76" s="23">
        <f>IF(T76="","",IF('分位数阈值'!$D$15="","",IFS(T76&lt;='分位数阈值'!$G$15,5,T76&lt;='分位数阈值'!$F$15,4,T76&lt;='分位数阈值'!$E$15,3,T76&lt;='分位数阈值'!$D$15,2,TRUE,1)))</f>
        <v/>
      </c>
      <c r="AP76" s="23">
        <f>IF(U76="","",IF(U76=1,5,1))</f>
        <v/>
      </c>
      <c r="AQ76" s="23">
        <f>IF(V76="","",V76)</f>
        <v/>
      </c>
      <c r="AR76" s="23">
        <f>IF(W76="","",IF('分位数阈值'!$D$16="","",IFS(W76&lt;='分位数阈值'!$G$16,5,W76&lt;='分位数阈值'!$F$16,4,W76&lt;='分位数阈值'!$E$16,3,W76&lt;='分位数阈值'!$D$16,2,TRUE,1)))</f>
        <v/>
      </c>
      <c r="AS76" s="23">
        <f>IF(X76="","",X76)</f>
        <v/>
      </c>
      <c r="AT76" s="23">
        <f>IF(Y76="","",Y76)</f>
        <v/>
      </c>
      <c r="AU76" s="10">
        <f>IF($A76="","",IF(OR(Z76=1,AR76=1,AJ76=1),"淘汰","通过"))</f>
        <v/>
      </c>
      <c r="AV76" s="10">
        <f>IF($A76="","",IF(OR(AA76=1,AR76=1,AND(AK76=1,AI76=1),AO76=1),"淘汰","通过"))</f>
        <v/>
      </c>
      <c r="AW76" s="24">
        <f>IF($A76="","",IF(AU76="淘汰","",ROUND(SUMPRODUCT(Z76:AT76,Z$2:AT$2)/5,1)))</f>
        <v/>
      </c>
      <c r="AX76" s="24">
        <f>IF($A76="","",IF(AV76="淘汰","",ROUND(SUMPRODUCT(Z76:AT76,Z$3:AT$3)/5,1)))</f>
        <v/>
      </c>
    </row>
    <row r="77" ht="15.75" customHeight="1" s="25">
      <c r="A77" s="22" t="n"/>
      <c r="B77" s="20" t="n"/>
      <c r="C77" s="22" t="n"/>
      <c r="D77" s="22" t="n"/>
      <c r="E77" s="22" t="n"/>
      <c r="F77" s="22" t="n"/>
      <c r="G77" s="21" t="n"/>
      <c r="H77" s="21" t="n"/>
      <c r="I77" s="21" t="n"/>
      <c r="J77" s="21" t="n"/>
      <c r="K77" s="21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3">
        <f>IF(E77="","",IF('分位数阈值'!$D$2="","",IFS(E77&gt;='分位数阈值'!$D$2,5,E77&gt;='分位数阈值'!$E$2,4,E77&gt;='分位数阈值'!$F$2,3,E77&gt;='分位数阈值'!$G$2,2,TRUE,1)))</f>
        <v/>
      </c>
      <c r="AA77" s="23">
        <f>IF(F77="","",IF('分位数阈值'!$D$3="","",IFS(F77&gt;='分位数阈值'!$D$3,5,F77&gt;='分位数阈值'!$E$3,4,F77&gt;='分位数阈值'!$F$3,3,F77&gt;='分位数阈值'!$G$3,2,TRUE,1)))</f>
        <v/>
      </c>
      <c r="AB77" s="23">
        <f>IF(G77="","",IF('分位数阈值'!$D$4="","",IFS(G77&gt;='分位数阈值'!$D$4,5,G77&gt;='分位数阈值'!$E$4,4,G77&gt;='分位数阈值'!$F$4,3,G77&gt;='分位数阈值'!$G$4,2,TRUE,1)))</f>
        <v/>
      </c>
      <c r="AC77" s="23">
        <f>IF(H77="","",IF('分位数阈值'!$D$5="","",IFS(H77&gt;='分位数阈值'!$D$5,5,H77&gt;='分位数阈值'!$E$5,4,H77&gt;='分位数阈值'!$F$5,3,H77&gt;='分位数阈值'!$G$5,2,TRUE,1)))</f>
        <v/>
      </c>
      <c r="AD77" s="23">
        <f>IF(I77="","",IF('分位数阈值'!$D$6="","",IFS(I77&gt;='分位数阈值'!$D$6,5,I77&gt;='分位数阈值'!$E$6,4,I77&gt;='分位数阈值'!$F$6,3,I77&gt;='分位数阈值'!$G$6,2,TRUE,1)))</f>
        <v/>
      </c>
      <c r="AE77" s="23">
        <f>IF(J77="","",IF('分位数阈值'!$D$7="","",IFS(J77&gt;='分位数阈值'!$D$7,5,J77&gt;='分位数阈值'!$E$7,4,J77&gt;='分位数阈值'!$F$7,3,J77&gt;='分位数阈值'!$G$7,2,TRUE,1)))</f>
        <v/>
      </c>
      <c r="AF77" s="23">
        <f>IF(K77="","",IF('分位数阈值'!$D$8="","",IFS(K77&gt;='分位数阈值'!$D$8,5,K77&gt;='分位数阈值'!$E$8,4,K77&gt;='分位数阈值'!$F$8,3,K77&gt;='分位数阈值'!$G$8,2,TRUE,1)))</f>
        <v/>
      </c>
      <c r="AG77" s="23">
        <f>IF(L77="","",IF('分位数阈值'!$D$9="","",IFS(L77&gt;='分位数阈值'!$D$9,5,L77&gt;='分位数阈值'!$E$9,4,L77&gt;='分位数阈值'!$F$9,3,L77&gt;='分位数阈值'!$G$9,2,TRUE,1)))</f>
        <v/>
      </c>
      <c r="AH77" s="23">
        <f>IF(M77="","",IF('分位数阈值'!$D$10="","",IFS(M77&lt;='分位数阈值'!$G$10,5,M77&lt;='分位数阈值'!$F$10,4,M77&lt;='分位数阈值'!$E$10,3,M77&lt;='分位数阈值'!$D$10,2,TRUE,1)))</f>
        <v/>
      </c>
      <c r="AI77" s="23">
        <f>IF(N77="","",IF('分位数阈值'!$D$11="","",IFS(N77&lt;='分位数阈值'!$G$11,5,N77&lt;='分位数阈值'!$F$11,4,N77&lt;='分位数阈值'!$E$11,3,N77&lt;='分位数阈值'!$D$11,2,TRUE,1)))</f>
        <v/>
      </c>
      <c r="AJ77" s="23">
        <f>IF(P77="","",IF(P77=1,1,5))</f>
        <v/>
      </c>
      <c r="AK77" s="23">
        <f>IF(Q77="","",IF(Q77=1,1,5))</f>
        <v/>
      </c>
      <c r="AL77" s="23">
        <f>IF(O77="","",IF('分位数阈值'!$D$12="","",IFS(O77&gt;='分位数阈值'!$D$12,5,O77&gt;='分位数阈值'!$E$12,4,O77&gt;='分位数阈值'!$F$12,3,O77&gt;='分位数阈值'!$G$12,2,TRUE,1)))</f>
        <v/>
      </c>
      <c r="AM77" s="23">
        <f>IF(R77="","",IF('分位数阈值'!$D$13="","",IFS(R77&lt;='分位数阈值'!$G$13,5,R77&lt;='分位数阈值'!$F$13,4,R77&lt;='分位数阈值'!$E$13,3,R77&lt;='分位数阈值'!$D$13,2,TRUE,1)))</f>
        <v/>
      </c>
      <c r="AN77" s="23">
        <f>IF(S77="","",IF('分位数阈值'!$D$14="","",IFS(S77&lt;='分位数阈值'!$G$14,5,S77&lt;='分位数阈值'!$F$14,4,S77&lt;='分位数阈值'!$E$14,3,S77&lt;='分位数阈值'!$D$14,2,TRUE,1)))</f>
        <v/>
      </c>
      <c r="AO77" s="23">
        <f>IF(T77="","",IF('分位数阈值'!$D$15="","",IFS(T77&lt;='分位数阈值'!$G$15,5,T77&lt;='分位数阈值'!$F$15,4,T77&lt;='分位数阈值'!$E$15,3,T77&lt;='分位数阈值'!$D$15,2,TRUE,1)))</f>
        <v/>
      </c>
      <c r="AP77" s="23">
        <f>IF(U77="","",IF(U77=1,5,1))</f>
        <v/>
      </c>
      <c r="AQ77" s="23">
        <f>IF(V77="","",V77)</f>
        <v/>
      </c>
      <c r="AR77" s="23">
        <f>IF(W77="","",IF('分位数阈值'!$D$16="","",IFS(W77&lt;='分位数阈值'!$G$16,5,W77&lt;='分位数阈值'!$F$16,4,W77&lt;='分位数阈值'!$E$16,3,W77&lt;='分位数阈值'!$D$16,2,TRUE,1)))</f>
        <v/>
      </c>
      <c r="AS77" s="23">
        <f>IF(X77="","",X77)</f>
        <v/>
      </c>
      <c r="AT77" s="23">
        <f>IF(Y77="","",Y77)</f>
        <v/>
      </c>
      <c r="AU77" s="10">
        <f>IF($A77="","",IF(OR(Z77=1,AR77=1,AJ77=1),"淘汰","通过"))</f>
        <v/>
      </c>
      <c r="AV77" s="10">
        <f>IF($A77="","",IF(OR(AA77=1,AR77=1,AND(AK77=1,AI77=1),AO77=1),"淘汰","通过"))</f>
        <v/>
      </c>
      <c r="AW77" s="24">
        <f>IF($A77="","",IF(AU77="淘汰","",ROUND(SUMPRODUCT(Z77:AT77,Z$2:AT$2)/5,1)))</f>
        <v/>
      </c>
      <c r="AX77" s="24">
        <f>IF($A77="","",IF(AV77="淘汰","",ROUND(SUMPRODUCT(Z77:AT77,Z$3:AT$3)/5,1)))</f>
        <v/>
      </c>
    </row>
    <row r="78" ht="15.75" customHeight="1" s="25">
      <c r="A78" s="22" t="n"/>
      <c r="B78" s="20" t="n"/>
      <c r="C78" s="22" t="n"/>
      <c r="D78" s="22" t="n"/>
      <c r="E78" s="22" t="n"/>
      <c r="F78" s="22" t="n"/>
      <c r="G78" s="21" t="n"/>
      <c r="H78" s="21" t="n"/>
      <c r="I78" s="21" t="n"/>
      <c r="J78" s="21" t="n"/>
      <c r="K78" s="21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3">
        <f>IF(E78="","",IF('分位数阈值'!$D$2="","",IFS(E78&gt;='分位数阈值'!$D$2,5,E78&gt;='分位数阈值'!$E$2,4,E78&gt;='分位数阈值'!$F$2,3,E78&gt;='分位数阈值'!$G$2,2,TRUE,1)))</f>
        <v/>
      </c>
      <c r="AA78" s="23">
        <f>IF(F78="","",IF('分位数阈值'!$D$3="","",IFS(F78&gt;='分位数阈值'!$D$3,5,F78&gt;='分位数阈值'!$E$3,4,F78&gt;='分位数阈值'!$F$3,3,F78&gt;='分位数阈值'!$G$3,2,TRUE,1)))</f>
        <v/>
      </c>
      <c r="AB78" s="23">
        <f>IF(G78="","",IF('分位数阈值'!$D$4="","",IFS(G78&gt;='分位数阈值'!$D$4,5,G78&gt;='分位数阈值'!$E$4,4,G78&gt;='分位数阈值'!$F$4,3,G78&gt;='分位数阈值'!$G$4,2,TRUE,1)))</f>
        <v/>
      </c>
      <c r="AC78" s="23">
        <f>IF(H78="","",IF('分位数阈值'!$D$5="","",IFS(H78&gt;='分位数阈值'!$D$5,5,H78&gt;='分位数阈值'!$E$5,4,H78&gt;='分位数阈值'!$F$5,3,H78&gt;='分位数阈值'!$G$5,2,TRUE,1)))</f>
        <v/>
      </c>
      <c r="AD78" s="23">
        <f>IF(I78="","",IF('分位数阈值'!$D$6="","",IFS(I78&gt;='分位数阈值'!$D$6,5,I78&gt;='分位数阈值'!$E$6,4,I78&gt;='分位数阈值'!$F$6,3,I78&gt;='分位数阈值'!$G$6,2,TRUE,1)))</f>
        <v/>
      </c>
      <c r="AE78" s="23">
        <f>IF(J78="","",IF('分位数阈值'!$D$7="","",IFS(J78&gt;='分位数阈值'!$D$7,5,J78&gt;='分位数阈值'!$E$7,4,J78&gt;='分位数阈值'!$F$7,3,J78&gt;='分位数阈值'!$G$7,2,TRUE,1)))</f>
        <v/>
      </c>
      <c r="AF78" s="23">
        <f>IF(K78="","",IF('分位数阈值'!$D$8="","",IFS(K78&gt;='分位数阈值'!$D$8,5,K78&gt;='分位数阈值'!$E$8,4,K78&gt;='分位数阈值'!$F$8,3,K78&gt;='分位数阈值'!$G$8,2,TRUE,1)))</f>
        <v/>
      </c>
      <c r="AG78" s="23">
        <f>IF(L78="","",IF('分位数阈值'!$D$9="","",IFS(L78&gt;='分位数阈值'!$D$9,5,L78&gt;='分位数阈值'!$E$9,4,L78&gt;='分位数阈值'!$F$9,3,L78&gt;='分位数阈值'!$G$9,2,TRUE,1)))</f>
        <v/>
      </c>
      <c r="AH78" s="23">
        <f>IF(M78="","",IF('分位数阈值'!$D$10="","",IFS(M78&lt;='分位数阈值'!$G$10,5,M78&lt;='分位数阈值'!$F$10,4,M78&lt;='分位数阈值'!$E$10,3,M78&lt;='分位数阈值'!$D$10,2,TRUE,1)))</f>
        <v/>
      </c>
      <c r="AI78" s="23">
        <f>IF(N78="","",IF('分位数阈值'!$D$11="","",IFS(N78&lt;='分位数阈值'!$G$11,5,N78&lt;='分位数阈值'!$F$11,4,N78&lt;='分位数阈值'!$E$11,3,N78&lt;='分位数阈值'!$D$11,2,TRUE,1)))</f>
        <v/>
      </c>
      <c r="AJ78" s="23">
        <f>IF(P78="","",IF(P78=1,1,5))</f>
        <v/>
      </c>
      <c r="AK78" s="23">
        <f>IF(Q78="","",IF(Q78=1,1,5))</f>
        <v/>
      </c>
      <c r="AL78" s="23">
        <f>IF(O78="","",IF('分位数阈值'!$D$12="","",IFS(O78&gt;='分位数阈值'!$D$12,5,O78&gt;='分位数阈值'!$E$12,4,O78&gt;='分位数阈值'!$F$12,3,O78&gt;='分位数阈值'!$G$12,2,TRUE,1)))</f>
        <v/>
      </c>
      <c r="AM78" s="23">
        <f>IF(R78="","",IF('分位数阈值'!$D$13="","",IFS(R78&lt;='分位数阈值'!$G$13,5,R78&lt;='分位数阈值'!$F$13,4,R78&lt;='分位数阈值'!$E$13,3,R78&lt;='分位数阈值'!$D$13,2,TRUE,1)))</f>
        <v/>
      </c>
      <c r="AN78" s="23">
        <f>IF(S78="","",IF('分位数阈值'!$D$14="","",IFS(S78&lt;='分位数阈值'!$G$14,5,S78&lt;='分位数阈值'!$F$14,4,S78&lt;='分位数阈值'!$E$14,3,S78&lt;='分位数阈值'!$D$14,2,TRUE,1)))</f>
        <v/>
      </c>
      <c r="AO78" s="23">
        <f>IF(T78="","",IF('分位数阈值'!$D$15="","",IFS(T78&lt;='分位数阈值'!$G$15,5,T78&lt;='分位数阈值'!$F$15,4,T78&lt;='分位数阈值'!$E$15,3,T78&lt;='分位数阈值'!$D$15,2,TRUE,1)))</f>
        <v/>
      </c>
      <c r="AP78" s="23">
        <f>IF(U78="","",IF(U78=1,5,1))</f>
        <v/>
      </c>
      <c r="AQ78" s="23">
        <f>IF(V78="","",V78)</f>
        <v/>
      </c>
      <c r="AR78" s="23">
        <f>IF(W78="","",IF('分位数阈值'!$D$16="","",IFS(W78&lt;='分位数阈值'!$G$16,5,W78&lt;='分位数阈值'!$F$16,4,W78&lt;='分位数阈值'!$E$16,3,W78&lt;='分位数阈值'!$D$16,2,TRUE,1)))</f>
        <v/>
      </c>
      <c r="AS78" s="23">
        <f>IF(X78="","",X78)</f>
        <v/>
      </c>
      <c r="AT78" s="23">
        <f>IF(Y78="","",Y78)</f>
        <v/>
      </c>
      <c r="AU78" s="10">
        <f>IF($A78="","",IF(OR(Z78=1,AR78=1,AJ78=1),"淘汰","通过"))</f>
        <v/>
      </c>
      <c r="AV78" s="10">
        <f>IF($A78="","",IF(OR(AA78=1,AR78=1,AND(AK78=1,AI78=1),AO78=1),"淘汰","通过"))</f>
        <v/>
      </c>
      <c r="AW78" s="24">
        <f>IF($A78="","",IF(AU78="淘汰","",ROUND(SUMPRODUCT(Z78:AT78,Z$2:AT$2)/5,1)))</f>
        <v/>
      </c>
      <c r="AX78" s="24">
        <f>IF($A78="","",IF(AV78="淘汰","",ROUND(SUMPRODUCT(Z78:AT78,Z$3:AT$3)/5,1)))</f>
        <v/>
      </c>
    </row>
    <row r="79" ht="15.75" customHeight="1" s="25">
      <c r="A79" s="22" t="n"/>
      <c r="B79" s="20" t="n"/>
      <c r="C79" s="22" t="n"/>
      <c r="D79" s="22" t="n"/>
      <c r="E79" s="22" t="n"/>
      <c r="F79" s="22" t="n"/>
      <c r="G79" s="21" t="n"/>
      <c r="H79" s="21" t="n"/>
      <c r="I79" s="21" t="n"/>
      <c r="J79" s="21" t="n"/>
      <c r="K79" s="21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3">
        <f>IF(E79="","",IF('分位数阈值'!$D$2="","",IFS(E79&gt;='分位数阈值'!$D$2,5,E79&gt;='分位数阈值'!$E$2,4,E79&gt;='分位数阈值'!$F$2,3,E79&gt;='分位数阈值'!$G$2,2,TRUE,1)))</f>
        <v/>
      </c>
      <c r="AA79" s="23">
        <f>IF(F79="","",IF('分位数阈值'!$D$3="","",IFS(F79&gt;='分位数阈值'!$D$3,5,F79&gt;='分位数阈值'!$E$3,4,F79&gt;='分位数阈值'!$F$3,3,F79&gt;='分位数阈值'!$G$3,2,TRUE,1)))</f>
        <v/>
      </c>
      <c r="AB79" s="23">
        <f>IF(G79="","",IF('分位数阈值'!$D$4="","",IFS(G79&gt;='分位数阈值'!$D$4,5,G79&gt;='分位数阈值'!$E$4,4,G79&gt;='分位数阈值'!$F$4,3,G79&gt;='分位数阈值'!$G$4,2,TRUE,1)))</f>
        <v/>
      </c>
      <c r="AC79" s="23">
        <f>IF(H79="","",IF('分位数阈值'!$D$5="","",IFS(H79&gt;='分位数阈值'!$D$5,5,H79&gt;='分位数阈值'!$E$5,4,H79&gt;='分位数阈值'!$F$5,3,H79&gt;='分位数阈值'!$G$5,2,TRUE,1)))</f>
        <v/>
      </c>
      <c r="AD79" s="23">
        <f>IF(I79="","",IF('分位数阈值'!$D$6="","",IFS(I79&gt;='分位数阈值'!$D$6,5,I79&gt;='分位数阈值'!$E$6,4,I79&gt;='分位数阈值'!$F$6,3,I79&gt;='分位数阈值'!$G$6,2,TRUE,1)))</f>
        <v/>
      </c>
      <c r="AE79" s="23">
        <f>IF(J79="","",IF('分位数阈值'!$D$7="","",IFS(J79&gt;='分位数阈值'!$D$7,5,J79&gt;='分位数阈值'!$E$7,4,J79&gt;='分位数阈值'!$F$7,3,J79&gt;='分位数阈值'!$G$7,2,TRUE,1)))</f>
        <v/>
      </c>
      <c r="AF79" s="23">
        <f>IF(K79="","",IF('分位数阈值'!$D$8="","",IFS(K79&gt;='分位数阈值'!$D$8,5,K79&gt;='分位数阈值'!$E$8,4,K79&gt;='分位数阈值'!$F$8,3,K79&gt;='分位数阈值'!$G$8,2,TRUE,1)))</f>
        <v/>
      </c>
      <c r="AG79" s="23">
        <f>IF(L79="","",IF('分位数阈值'!$D$9="","",IFS(L79&gt;='分位数阈值'!$D$9,5,L79&gt;='分位数阈值'!$E$9,4,L79&gt;='分位数阈值'!$F$9,3,L79&gt;='分位数阈值'!$G$9,2,TRUE,1)))</f>
        <v/>
      </c>
      <c r="AH79" s="23">
        <f>IF(M79="","",IF('分位数阈值'!$D$10="","",IFS(M79&lt;='分位数阈值'!$G$10,5,M79&lt;='分位数阈值'!$F$10,4,M79&lt;='分位数阈值'!$E$10,3,M79&lt;='分位数阈值'!$D$10,2,TRUE,1)))</f>
        <v/>
      </c>
      <c r="AI79" s="23">
        <f>IF(N79="","",IF('分位数阈值'!$D$11="","",IFS(N79&lt;='分位数阈值'!$G$11,5,N79&lt;='分位数阈值'!$F$11,4,N79&lt;='分位数阈值'!$E$11,3,N79&lt;='分位数阈值'!$D$11,2,TRUE,1)))</f>
        <v/>
      </c>
      <c r="AJ79" s="23">
        <f>IF(P79="","",IF(P79=1,1,5))</f>
        <v/>
      </c>
      <c r="AK79" s="23">
        <f>IF(Q79="","",IF(Q79=1,1,5))</f>
        <v/>
      </c>
      <c r="AL79" s="23">
        <f>IF(O79="","",IF('分位数阈值'!$D$12="","",IFS(O79&gt;='分位数阈值'!$D$12,5,O79&gt;='分位数阈值'!$E$12,4,O79&gt;='分位数阈值'!$F$12,3,O79&gt;='分位数阈值'!$G$12,2,TRUE,1)))</f>
        <v/>
      </c>
      <c r="AM79" s="23">
        <f>IF(R79="","",IF('分位数阈值'!$D$13="","",IFS(R79&lt;='分位数阈值'!$G$13,5,R79&lt;='分位数阈值'!$F$13,4,R79&lt;='分位数阈值'!$E$13,3,R79&lt;='分位数阈值'!$D$13,2,TRUE,1)))</f>
        <v/>
      </c>
      <c r="AN79" s="23">
        <f>IF(S79="","",IF('分位数阈值'!$D$14="","",IFS(S79&lt;='分位数阈值'!$G$14,5,S79&lt;='分位数阈值'!$F$14,4,S79&lt;='分位数阈值'!$E$14,3,S79&lt;='分位数阈值'!$D$14,2,TRUE,1)))</f>
        <v/>
      </c>
      <c r="AO79" s="23">
        <f>IF(T79="","",IF('分位数阈值'!$D$15="","",IFS(T79&lt;='分位数阈值'!$G$15,5,T79&lt;='分位数阈值'!$F$15,4,T79&lt;='分位数阈值'!$E$15,3,T79&lt;='分位数阈值'!$D$15,2,TRUE,1)))</f>
        <v/>
      </c>
      <c r="AP79" s="23">
        <f>IF(U79="","",IF(U79=1,5,1))</f>
        <v/>
      </c>
      <c r="AQ79" s="23">
        <f>IF(V79="","",V79)</f>
        <v/>
      </c>
      <c r="AR79" s="23">
        <f>IF(W79="","",IF('分位数阈值'!$D$16="","",IFS(W79&lt;='分位数阈值'!$G$16,5,W79&lt;='分位数阈值'!$F$16,4,W79&lt;='分位数阈值'!$E$16,3,W79&lt;='分位数阈值'!$D$16,2,TRUE,1)))</f>
        <v/>
      </c>
      <c r="AS79" s="23">
        <f>IF(X79="","",X79)</f>
        <v/>
      </c>
      <c r="AT79" s="23">
        <f>IF(Y79="","",Y79)</f>
        <v/>
      </c>
      <c r="AU79" s="10">
        <f>IF($A79="","",IF(OR(Z79=1,AR79=1,AJ79=1),"淘汰","通过"))</f>
        <v/>
      </c>
      <c r="AV79" s="10">
        <f>IF($A79="","",IF(OR(AA79=1,AR79=1,AND(AK79=1,AI79=1),AO79=1),"淘汰","通过"))</f>
        <v/>
      </c>
      <c r="AW79" s="24">
        <f>IF($A79="","",IF(AU79="淘汰","",ROUND(SUMPRODUCT(Z79:AT79,Z$2:AT$2)/5,1)))</f>
        <v/>
      </c>
      <c r="AX79" s="24">
        <f>IF($A79="","",IF(AV79="淘汰","",ROUND(SUMPRODUCT(Z79:AT79,Z$3:AT$3)/5,1)))</f>
        <v/>
      </c>
    </row>
    <row r="80" ht="15.75" customHeight="1" s="25">
      <c r="A80" s="22" t="n"/>
      <c r="B80" s="20" t="n"/>
      <c r="C80" s="22" t="n"/>
      <c r="D80" s="22" t="n"/>
      <c r="E80" s="22" t="n"/>
      <c r="F80" s="22" t="n"/>
      <c r="G80" s="21" t="n"/>
      <c r="H80" s="21" t="n"/>
      <c r="I80" s="21" t="n"/>
      <c r="J80" s="21" t="n"/>
      <c r="K80" s="21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3">
        <f>IF(E80="","",IF('分位数阈值'!$D$2="","",IFS(E80&gt;='分位数阈值'!$D$2,5,E80&gt;='分位数阈值'!$E$2,4,E80&gt;='分位数阈值'!$F$2,3,E80&gt;='分位数阈值'!$G$2,2,TRUE,1)))</f>
        <v/>
      </c>
      <c r="AA80" s="23">
        <f>IF(F80="","",IF('分位数阈值'!$D$3="","",IFS(F80&gt;='分位数阈值'!$D$3,5,F80&gt;='分位数阈值'!$E$3,4,F80&gt;='分位数阈值'!$F$3,3,F80&gt;='分位数阈值'!$G$3,2,TRUE,1)))</f>
        <v/>
      </c>
      <c r="AB80" s="23">
        <f>IF(G80="","",IF('分位数阈值'!$D$4="","",IFS(G80&gt;='分位数阈值'!$D$4,5,G80&gt;='分位数阈值'!$E$4,4,G80&gt;='分位数阈值'!$F$4,3,G80&gt;='分位数阈值'!$G$4,2,TRUE,1)))</f>
        <v/>
      </c>
      <c r="AC80" s="23">
        <f>IF(H80="","",IF('分位数阈值'!$D$5="","",IFS(H80&gt;='分位数阈值'!$D$5,5,H80&gt;='分位数阈值'!$E$5,4,H80&gt;='分位数阈值'!$F$5,3,H80&gt;='分位数阈值'!$G$5,2,TRUE,1)))</f>
        <v/>
      </c>
      <c r="AD80" s="23">
        <f>IF(I80="","",IF('分位数阈值'!$D$6="","",IFS(I80&gt;='分位数阈值'!$D$6,5,I80&gt;='分位数阈值'!$E$6,4,I80&gt;='分位数阈值'!$F$6,3,I80&gt;='分位数阈值'!$G$6,2,TRUE,1)))</f>
        <v/>
      </c>
      <c r="AE80" s="23">
        <f>IF(J80="","",IF('分位数阈值'!$D$7="","",IFS(J80&gt;='分位数阈值'!$D$7,5,J80&gt;='分位数阈值'!$E$7,4,J80&gt;='分位数阈值'!$F$7,3,J80&gt;='分位数阈值'!$G$7,2,TRUE,1)))</f>
        <v/>
      </c>
      <c r="AF80" s="23">
        <f>IF(K80="","",IF('分位数阈值'!$D$8="","",IFS(K80&gt;='分位数阈值'!$D$8,5,K80&gt;='分位数阈值'!$E$8,4,K80&gt;='分位数阈值'!$F$8,3,K80&gt;='分位数阈值'!$G$8,2,TRUE,1)))</f>
        <v/>
      </c>
      <c r="AG80" s="23">
        <f>IF(L80="","",IF('分位数阈值'!$D$9="","",IFS(L80&gt;='分位数阈值'!$D$9,5,L80&gt;='分位数阈值'!$E$9,4,L80&gt;='分位数阈值'!$F$9,3,L80&gt;='分位数阈值'!$G$9,2,TRUE,1)))</f>
        <v/>
      </c>
      <c r="AH80" s="23">
        <f>IF(M80="","",IF('分位数阈值'!$D$10="","",IFS(M80&lt;='分位数阈值'!$G$10,5,M80&lt;='分位数阈值'!$F$10,4,M80&lt;='分位数阈值'!$E$10,3,M80&lt;='分位数阈值'!$D$10,2,TRUE,1)))</f>
        <v/>
      </c>
      <c r="AI80" s="23">
        <f>IF(N80="","",IF('分位数阈值'!$D$11="","",IFS(N80&lt;='分位数阈值'!$G$11,5,N80&lt;='分位数阈值'!$F$11,4,N80&lt;='分位数阈值'!$E$11,3,N80&lt;='分位数阈值'!$D$11,2,TRUE,1)))</f>
        <v/>
      </c>
      <c r="AJ80" s="23">
        <f>IF(P80="","",IF(P80=1,1,5))</f>
        <v/>
      </c>
      <c r="AK80" s="23">
        <f>IF(Q80="","",IF(Q80=1,1,5))</f>
        <v/>
      </c>
      <c r="AL80" s="23">
        <f>IF(O80="","",IF('分位数阈值'!$D$12="","",IFS(O80&gt;='分位数阈值'!$D$12,5,O80&gt;='分位数阈值'!$E$12,4,O80&gt;='分位数阈值'!$F$12,3,O80&gt;='分位数阈值'!$G$12,2,TRUE,1)))</f>
        <v/>
      </c>
      <c r="AM80" s="23">
        <f>IF(R80="","",IF('分位数阈值'!$D$13="","",IFS(R80&lt;='分位数阈值'!$G$13,5,R80&lt;='分位数阈值'!$F$13,4,R80&lt;='分位数阈值'!$E$13,3,R80&lt;='分位数阈值'!$D$13,2,TRUE,1)))</f>
        <v/>
      </c>
      <c r="AN80" s="23">
        <f>IF(S80="","",IF('分位数阈值'!$D$14="","",IFS(S80&lt;='分位数阈值'!$G$14,5,S80&lt;='分位数阈值'!$F$14,4,S80&lt;='分位数阈值'!$E$14,3,S80&lt;='分位数阈值'!$D$14,2,TRUE,1)))</f>
        <v/>
      </c>
      <c r="AO80" s="23">
        <f>IF(T80="","",IF('分位数阈值'!$D$15="","",IFS(T80&lt;='分位数阈值'!$G$15,5,T80&lt;='分位数阈值'!$F$15,4,T80&lt;='分位数阈值'!$E$15,3,T80&lt;='分位数阈值'!$D$15,2,TRUE,1)))</f>
        <v/>
      </c>
      <c r="AP80" s="23">
        <f>IF(U80="","",IF(U80=1,5,1))</f>
        <v/>
      </c>
      <c r="AQ80" s="23">
        <f>IF(V80="","",V80)</f>
        <v/>
      </c>
      <c r="AR80" s="23">
        <f>IF(W80="","",IF('分位数阈值'!$D$16="","",IFS(W80&lt;='分位数阈值'!$G$16,5,W80&lt;='分位数阈值'!$F$16,4,W80&lt;='分位数阈值'!$E$16,3,W80&lt;='分位数阈值'!$D$16,2,TRUE,1)))</f>
        <v/>
      </c>
      <c r="AS80" s="23">
        <f>IF(X80="","",X80)</f>
        <v/>
      </c>
      <c r="AT80" s="23">
        <f>IF(Y80="","",Y80)</f>
        <v/>
      </c>
      <c r="AU80" s="10">
        <f>IF($A80="","",IF(OR(Z80=1,AR80=1,AJ80=1),"淘汰","通过"))</f>
        <v/>
      </c>
      <c r="AV80" s="10">
        <f>IF($A80="","",IF(OR(AA80=1,AR80=1,AND(AK80=1,AI80=1),AO80=1),"淘汰","通过"))</f>
        <v/>
      </c>
      <c r="AW80" s="24">
        <f>IF($A80="","",IF(AU80="淘汰","",ROUND(SUMPRODUCT(Z80:AT80,Z$2:AT$2)/5,1)))</f>
        <v/>
      </c>
      <c r="AX80" s="24">
        <f>IF($A80="","",IF(AV80="淘汰","",ROUND(SUMPRODUCT(Z80:AT80,Z$3:AT$3)/5,1)))</f>
        <v/>
      </c>
    </row>
    <row r="81" ht="15.75" customHeight="1" s="25">
      <c r="A81" s="22" t="n"/>
      <c r="B81" s="20" t="n"/>
      <c r="C81" s="22" t="n"/>
      <c r="D81" s="22" t="n"/>
      <c r="E81" s="22" t="n"/>
      <c r="F81" s="22" t="n"/>
      <c r="G81" s="21" t="n"/>
      <c r="H81" s="21" t="n"/>
      <c r="I81" s="21" t="n"/>
      <c r="J81" s="21" t="n"/>
      <c r="K81" s="21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3">
        <f>IF(E81="","",IF('分位数阈值'!$D$2="","",IFS(E81&gt;='分位数阈值'!$D$2,5,E81&gt;='分位数阈值'!$E$2,4,E81&gt;='分位数阈值'!$F$2,3,E81&gt;='分位数阈值'!$G$2,2,TRUE,1)))</f>
        <v/>
      </c>
      <c r="AA81" s="23">
        <f>IF(F81="","",IF('分位数阈值'!$D$3="","",IFS(F81&gt;='分位数阈值'!$D$3,5,F81&gt;='分位数阈值'!$E$3,4,F81&gt;='分位数阈值'!$F$3,3,F81&gt;='分位数阈值'!$G$3,2,TRUE,1)))</f>
        <v/>
      </c>
      <c r="AB81" s="23">
        <f>IF(G81="","",IF('分位数阈值'!$D$4="","",IFS(G81&gt;='分位数阈值'!$D$4,5,G81&gt;='分位数阈值'!$E$4,4,G81&gt;='分位数阈值'!$F$4,3,G81&gt;='分位数阈值'!$G$4,2,TRUE,1)))</f>
        <v/>
      </c>
      <c r="AC81" s="23">
        <f>IF(H81="","",IF('分位数阈值'!$D$5="","",IFS(H81&gt;='分位数阈值'!$D$5,5,H81&gt;='分位数阈值'!$E$5,4,H81&gt;='分位数阈值'!$F$5,3,H81&gt;='分位数阈值'!$G$5,2,TRUE,1)))</f>
        <v/>
      </c>
      <c r="AD81" s="23">
        <f>IF(I81="","",IF('分位数阈值'!$D$6="","",IFS(I81&gt;='分位数阈值'!$D$6,5,I81&gt;='分位数阈值'!$E$6,4,I81&gt;='分位数阈值'!$F$6,3,I81&gt;='分位数阈值'!$G$6,2,TRUE,1)))</f>
        <v/>
      </c>
      <c r="AE81" s="23">
        <f>IF(J81="","",IF('分位数阈值'!$D$7="","",IFS(J81&gt;='分位数阈值'!$D$7,5,J81&gt;='分位数阈值'!$E$7,4,J81&gt;='分位数阈值'!$F$7,3,J81&gt;='分位数阈值'!$G$7,2,TRUE,1)))</f>
        <v/>
      </c>
      <c r="AF81" s="23">
        <f>IF(K81="","",IF('分位数阈值'!$D$8="","",IFS(K81&gt;='分位数阈值'!$D$8,5,K81&gt;='分位数阈值'!$E$8,4,K81&gt;='分位数阈值'!$F$8,3,K81&gt;='分位数阈值'!$G$8,2,TRUE,1)))</f>
        <v/>
      </c>
      <c r="AG81" s="23">
        <f>IF(L81="","",IF('分位数阈值'!$D$9="","",IFS(L81&gt;='分位数阈值'!$D$9,5,L81&gt;='分位数阈值'!$E$9,4,L81&gt;='分位数阈值'!$F$9,3,L81&gt;='分位数阈值'!$G$9,2,TRUE,1)))</f>
        <v/>
      </c>
      <c r="AH81" s="23">
        <f>IF(M81="","",IF('分位数阈值'!$D$10="","",IFS(M81&lt;='分位数阈值'!$G$10,5,M81&lt;='分位数阈值'!$F$10,4,M81&lt;='分位数阈值'!$E$10,3,M81&lt;='分位数阈值'!$D$10,2,TRUE,1)))</f>
        <v/>
      </c>
      <c r="AI81" s="23">
        <f>IF(N81="","",IF('分位数阈值'!$D$11="","",IFS(N81&lt;='分位数阈值'!$G$11,5,N81&lt;='分位数阈值'!$F$11,4,N81&lt;='分位数阈值'!$E$11,3,N81&lt;='分位数阈值'!$D$11,2,TRUE,1)))</f>
        <v/>
      </c>
      <c r="AJ81" s="23">
        <f>IF(P81="","",IF(P81=1,1,5))</f>
        <v/>
      </c>
      <c r="AK81" s="23">
        <f>IF(Q81="","",IF(Q81=1,1,5))</f>
        <v/>
      </c>
      <c r="AL81" s="23">
        <f>IF(O81="","",IF('分位数阈值'!$D$12="","",IFS(O81&gt;='分位数阈值'!$D$12,5,O81&gt;='分位数阈值'!$E$12,4,O81&gt;='分位数阈值'!$F$12,3,O81&gt;='分位数阈值'!$G$12,2,TRUE,1)))</f>
        <v/>
      </c>
      <c r="AM81" s="23">
        <f>IF(R81="","",IF('分位数阈值'!$D$13="","",IFS(R81&lt;='分位数阈值'!$G$13,5,R81&lt;='分位数阈值'!$F$13,4,R81&lt;='分位数阈值'!$E$13,3,R81&lt;='分位数阈值'!$D$13,2,TRUE,1)))</f>
        <v/>
      </c>
      <c r="AN81" s="23">
        <f>IF(S81="","",IF('分位数阈值'!$D$14="","",IFS(S81&lt;='分位数阈值'!$G$14,5,S81&lt;='分位数阈值'!$F$14,4,S81&lt;='分位数阈值'!$E$14,3,S81&lt;='分位数阈值'!$D$14,2,TRUE,1)))</f>
        <v/>
      </c>
      <c r="AO81" s="23">
        <f>IF(T81="","",IF('分位数阈值'!$D$15="","",IFS(T81&lt;='分位数阈值'!$G$15,5,T81&lt;='分位数阈值'!$F$15,4,T81&lt;='分位数阈值'!$E$15,3,T81&lt;='分位数阈值'!$D$15,2,TRUE,1)))</f>
        <v/>
      </c>
      <c r="AP81" s="23">
        <f>IF(U81="","",IF(U81=1,5,1))</f>
        <v/>
      </c>
      <c r="AQ81" s="23">
        <f>IF(V81="","",V81)</f>
        <v/>
      </c>
      <c r="AR81" s="23">
        <f>IF(W81="","",IF('分位数阈值'!$D$16="","",IFS(W81&lt;='分位数阈值'!$G$16,5,W81&lt;='分位数阈值'!$F$16,4,W81&lt;='分位数阈值'!$E$16,3,W81&lt;='分位数阈值'!$D$16,2,TRUE,1)))</f>
        <v/>
      </c>
      <c r="AS81" s="23">
        <f>IF(X81="","",X81)</f>
        <v/>
      </c>
      <c r="AT81" s="23">
        <f>IF(Y81="","",Y81)</f>
        <v/>
      </c>
      <c r="AU81" s="10">
        <f>IF($A81="","",IF(OR(Z81=1,AR81=1,AJ81=1),"淘汰","通过"))</f>
        <v/>
      </c>
      <c r="AV81" s="10">
        <f>IF($A81="","",IF(OR(AA81=1,AR81=1,AND(AK81=1,AI81=1),AO81=1),"淘汰","通过"))</f>
        <v/>
      </c>
      <c r="AW81" s="24">
        <f>IF($A81="","",IF(AU81="淘汰","",ROUND(SUMPRODUCT(Z81:AT81,Z$2:AT$2)/5,1)))</f>
        <v/>
      </c>
      <c r="AX81" s="24">
        <f>IF($A81="","",IF(AV81="淘汰","",ROUND(SUMPRODUCT(Z81:AT81,Z$3:AT$3)/5,1)))</f>
        <v/>
      </c>
    </row>
    <row r="82" ht="15.75" customHeight="1" s="25">
      <c r="A82" s="22" t="n"/>
      <c r="B82" s="20" t="n"/>
      <c r="C82" s="22" t="n"/>
      <c r="D82" s="22" t="n"/>
      <c r="E82" s="22" t="n"/>
      <c r="F82" s="22" t="n"/>
      <c r="G82" s="21" t="n"/>
      <c r="H82" s="21" t="n"/>
      <c r="I82" s="21" t="n"/>
      <c r="J82" s="21" t="n"/>
      <c r="K82" s="21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3">
        <f>IF(E82="","",IF('分位数阈值'!$D$2="","",IFS(E82&gt;='分位数阈值'!$D$2,5,E82&gt;='分位数阈值'!$E$2,4,E82&gt;='分位数阈值'!$F$2,3,E82&gt;='分位数阈值'!$G$2,2,TRUE,1)))</f>
        <v/>
      </c>
      <c r="AA82" s="23">
        <f>IF(F82="","",IF('分位数阈值'!$D$3="","",IFS(F82&gt;='分位数阈值'!$D$3,5,F82&gt;='分位数阈值'!$E$3,4,F82&gt;='分位数阈值'!$F$3,3,F82&gt;='分位数阈值'!$G$3,2,TRUE,1)))</f>
        <v/>
      </c>
      <c r="AB82" s="23">
        <f>IF(G82="","",IF('分位数阈值'!$D$4="","",IFS(G82&gt;='分位数阈值'!$D$4,5,G82&gt;='分位数阈值'!$E$4,4,G82&gt;='分位数阈值'!$F$4,3,G82&gt;='分位数阈值'!$G$4,2,TRUE,1)))</f>
        <v/>
      </c>
      <c r="AC82" s="23">
        <f>IF(H82="","",IF('分位数阈值'!$D$5="","",IFS(H82&gt;='分位数阈值'!$D$5,5,H82&gt;='分位数阈值'!$E$5,4,H82&gt;='分位数阈值'!$F$5,3,H82&gt;='分位数阈值'!$G$5,2,TRUE,1)))</f>
        <v/>
      </c>
      <c r="AD82" s="23">
        <f>IF(I82="","",IF('分位数阈值'!$D$6="","",IFS(I82&gt;='分位数阈值'!$D$6,5,I82&gt;='分位数阈值'!$E$6,4,I82&gt;='分位数阈值'!$F$6,3,I82&gt;='分位数阈值'!$G$6,2,TRUE,1)))</f>
        <v/>
      </c>
      <c r="AE82" s="23">
        <f>IF(J82="","",IF('分位数阈值'!$D$7="","",IFS(J82&gt;='分位数阈值'!$D$7,5,J82&gt;='分位数阈值'!$E$7,4,J82&gt;='分位数阈值'!$F$7,3,J82&gt;='分位数阈值'!$G$7,2,TRUE,1)))</f>
        <v/>
      </c>
      <c r="AF82" s="23">
        <f>IF(K82="","",IF('分位数阈值'!$D$8="","",IFS(K82&gt;='分位数阈值'!$D$8,5,K82&gt;='分位数阈值'!$E$8,4,K82&gt;='分位数阈值'!$F$8,3,K82&gt;='分位数阈值'!$G$8,2,TRUE,1)))</f>
        <v/>
      </c>
      <c r="AG82" s="23">
        <f>IF(L82="","",IF('分位数阈值'!$D$9="","",IFS(L82&gt;='分位数阈值'!$D$9,5,L82&gt;='分位数阈值'!$E$9,4,L82&gt;='分位数阈值'!$F$9,3,L82&gt;='分位数阈值'!$G$9,2,TRUE,1)))</f>
        <v/>
      </c>
      <c r="AH82" s="23">
        <f>IF(M82="","",IF('分位数阈值'!$D$10="","",IFS(M82&lt;='分位数阈值'!$G$10,5,M82&lt;='分位数阈值'!$F$10,4,M82&lt;='分位数阈值'!$E$10,3,M82&lt;='分位数阈值'!$D$10,2,TRUE,1)))</f>
        <v/>
      </c>
      <c r="AI82" s="23">
        <f>IF(N82="","",IF('分位数阈值'!$D$11="","",IFS(N82&lt;='分位数阈值'!$G$11,5,N82&lt;='分位数阈值'!$F$11,4,N82&lt;='分位数阈值'!$E$11,3,N82&lt;='分位数阈值'!$D$11,2,TRUE,1)))</f>
        <v/>
      </c>
      <c r="AJ82" s="23">
        <f>IF(P82="","",IF(P82=1,1,5))</f>
        <v/>
      </c>
      <c r="AK82" s="23">
        <f>IF(Q82="","",IF(Q82=1,1,5))</f>
        <v/>
      </c>
      <c r="AL82" s="23">
        <f>IF(O82="","",IF('分位数阈值'!$D$12="","",IFS(O82&gt;='分位数阈值'!$D$12,5,O82&gt;='分位数阈值'!$E$12,4,O82&gt;='分位数阈值'!$F$12,3,O82&gt;='分位数阈值'!$G$12,2,TRUE,1)))</f>
        <v/>
      </c>
      <c r="AM82" s="23">
        <f>IF(R82="","",IF('分位数阈值'!$D$13="","",IFS(R82&lt;='分位数阈值'!$G$13,5,R82&lt;='分位数阈值'!$F$13,4,R82&lt;='分位数阈值'!$E$13,3,R82&lt;='分位数阈值'!$D$13,2,TRUE,1)))</f>
        <v/>
      </c>
      <c r="AN82" s="23">
        <f>IF(S82="","",IF('分位数阈值'!$D$14="","",IFS(S82&lt;='分位数阈值'!$G$14,5,S82&lt;='分位数阈值'!$F$14,4,S82&lt;='分位数阈值'!$E$14,3,S82&lt;='分位数阈值'!$D$14,2,TRUE,1)))</f>
        <v/>
      </c>
      <c r="AO82" s="23">
        <f>IF(T82="","",IF('分位数阈值'!$D$15="","",IFS(T82&lt;='分位数阈值'!$G$15,5,T82&lt;='分位数阈值'!$F$15,4,T82&lt;='分位数阈值'!$E$15,3,T82&lt;='分位数阈值'!$D$15,2,TRUE,1)))</f>
        <v/>
      </c>
      <c r="AP82" s="23">
        <f>IF(U82="","",IF(U82=1,5,1))</f>
        <v/>
      </c>
      <c r="AQ82" s="23">
        <f>IF(V82="","",V82)</f>
        <v/>
      </c>
      <c r="AR82" s="23">
        <f>IF(W82="","",IF('分位数阈值'!$D$16="","",IFS(W82&lt;='分位数阈值'!$G$16,5,W82&lt;='分位数阈值'!$F$16,4,W82&lt;='分位数阈值'!$E$16,3,W82&lt;='分位数阈值'!$D$16,2,TRUE,1)))</f>
        <v/>
      </c>
      <c r="AS82" s="23">
        <f>IF(X82="","",X82)</f>
        <v/>
      </c>
      <c r="AT82" s="23">
        <f>IF(Y82="","",Y82)</f>
        <v/>
      </c>
      <c r="AU82" s="10">
        <f>IF($A82="","",IF(OR(Z82=1,AR82=1,AJ82=1),"淘汰","通过"))</f>
        <v/>
      </c>
      <c r="AV82" s="10">
        <f>IF($A82="","",IF(OR(AA82=1,AR82=1,AND(AK82=1,AI82=1),AO82=1),"淘汰","通过"))</f>
        <v/>
      </c>
      <c r="AW82" s="24">
        <f>IF($A82="","",IF(AU82="淘汰","",ROUND(SUMPRODUCT(Z82:AT82,Z$2:AT$2)/5,1)))</f>
        <v/>
      </c>
      <c r="AX82" s="24">
        <f>IF($A82="","",IF(AV82="淘汰","",ROUND(SUMPRODUCT(Z82:AT82,Z$3:AT$3)/5,1)))</f>
        <v/>
      </c>
    </row>
    <row r="83" ht="15.75" customHeight="1" s="25">
      <c r="A83" s="22" t="n"/>
      <c r="B83" s="20" t="n"/>
      <c r="C83" s="22" t="n"/>
      <c r="D83" s="22" t="n"/>
      <c r="E83" s="22" t="n"/>
      <c r="F83" s="22" t="n"/>
      <c r="G83" s="21" t="n"/>
      <c r="H83" s="21" t="n"/>
      <c r="I83" s="21" t="n"/>
      <c r="J83" s="21" t="n"/>
      <c r="K83" s="21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3">
        <f>IF(E83="","",IF('分位数阈值'!$D$2="","",IFS(E83&gt;='分位数阈值'!$D$2,5,E83&gt;='分位数阈值'!$E$2,4,E83&gt;='分位数阈值'!$F$2,3,E83&gt;='分位数阈值'!$G$2,2,TRUE,1)))</f>
        <v/>
      </c>
      <c r="AA83" s="23">
        <f>IF(F83="","",IF('分位数阈值'!$D$3="","",IFS(F83&gt;='分位数阈值'!$D$3,5,F83&gt;='分位数阈值'!$E$3,4,F83&gt;='分位数阈值'!$F$3,3,F83&gt;='分位数阈值'!$G$3,2,TRUE,1)))</f>
        <v/>
      </c>
      <c r="AB83" s="23">
        <f>IF(G83="","",IF('分位数阈值'!$D$4="","",IFS(G83&gt;='分位数阈值'!$D$4,5,G83&gt;='分位数阈值'!$E$4,4,G83&gt;='分位数阈值'!$F$4,3,G83&gt;='分位数阈值'!$G$4,2,TRUE,1)))</f>
        <v/>
      </c>
      <c r="AC83" s="23">
        <f>IF(H83="","",IF('分位数阈值'!$D$5="","",IFS(H83&gt;='分位数阈值'!$D$5,5,H83&gt;='分位数阈值'!$E$5,4,H83&gt;='分位数阈值'!$F$5,3,H83&gt;='分位数阈值'!$G$5,2,TRUE,1)))</f>
        <v/>
      </c>
      <c r="AD83" s="23">
        <f>IF(I83="","",IF('分位数阈值'!$D$6="","",IFS(I83&gt;='分位数阈值'!$D$6,5,I83&gt;='分位数阈值'!$E$6,4,I83&gt;='分位数阈值'!$F$6,3,I83&gt;='分位数阈值'!$G$6,2,TRUE,1)))</f>
        <v/>
      </c>
      <c r="AE83" s="23">
        <f>IF(J83="","",IF('分位数阈值'!$D$7="","",IFS(J83&gt;='分位数阈值'!$D$7,5,J83&gt;='分位数阈值'!$E$7,4,J83&gt;='分位数阈值'!$F$7,3,J83&gt;='分位数阈值'!$G$7,2,TRUE,1)))</f>
        <v/>
      </c>
      <c r="AF83" s="23">
        <f>IF(K83="","",IF('分位数阈值'!$D$8="","",IFS(K83&gt;='分位数阈值'!$D$8,5,K83&gt;='分位数阈值'!$E$8,4,K83&gt;='分位数阈值'!$F$8,3,K83&gt;='分位数阈值'!$G$8,2,TRUE,1)))</f>
        <v/>
      </c>
      <c r="AG83" s="23">
        <f>IF(L83="","",IF('分位数阈值'!$D$9="","",IFS(L83&gt;='分位数阈值'!$D$9,5,L83&gt;='分位数阈值'!$E$9,4,L83&gt;='分位数阈值'!$F$9,3,L83&gt;='分位数阈值'!$G$9,2,TRUE,1)))</f>
        <v/>
      </c>
      <c r="AH83" s="23">
        <f>IF(M83="","",IF('分位数阈值'!$D$10="","",IFS(M83&lt;='分位数阈值'!$G$10,5,M83&lt;='分位数阈值'!$F$10,4,M83&lt;='分位数阈值'!$E$10,3,M83&lt;='分位数阈值'!$D$10,2,TRUE,1)))</f>
        <v/>
      </c>
      <c r="AI83" s="23">
        <f>IF(N83="","",IF('分位数阈值'!$D$11="","",IFS(N83&lt;='分位数阈值'!$G$11,5,N83&lt;='分位数阈值'!$F$11,4,N83&lt;='分位数阈值'!$E$11,3,N83&lt;='分位数阈值'!$D$11,2,TRUE,1)))</f>
        <v/>
      </c>
      <c r="AJ83" s="23">
        <f>IF(P83="","",IF(P83=1,1,5))</f>
        <v/>
      </c>
      <c r="AK83" s="23">
        <f>IF(Q83="","",IF(Q83=1,1,5))</f>
        <v/>
      </c>
      <c r="AL83" s="23">
        <f>IF(O83="","",IF('分位数阈值'!$D$12="","",IFS(O83&gt;='分位数阈值'!$D$12,5,O83&gt;='分位数阈值'!$E$12,4,O83&gt;='分位数阈值'!$F$12,3,O83&gt;='分位数阈值'!$G$12,2,TRUE,1)))</f>
        <v/>
      </c>
      <c r="AM83" s="23">
        <f>IF(R83="","",IF('分位数阈值'!$D$13="","",IFS(R83&lt;='分位数阈值'!$G$13,5,R83&lt;='分位数阈值'!$F$13,4,R83&lt;='分位数阈值'!$E$13,3,R83&lt;='分位数阈值'!$D$13,2,TRUE,1)))</f>
        <v/>
      </c>
      <c r="AN83" s="23">
        <f>IF(S83="","",IF('分位数阈值'!$D$14="","",IFS(S83&lt;='分位数阈值'!$G$14,5,S83&lt;='分位数阈值'!$F$14,4,S83&lt;='分位数阈值'!$E$14,3,S83&lt;='分位数阈值'!$D$14,2,TRUE,1)))</f>
        <v/>
      </c>
      <c r="AO83" s="23">
        <f>IF(T83="","",IF('分位数阈值'!$D$15="","",IFS(T83&lt;='分位数阈值'!$G$15,5,T83&lt;='分位数阈值'!$F$15,4,T83&lt;='分位数阈值'!$E$15,3,T83&lt;='分位数阈值'!$D$15,2,TRUE,1)))</f>
        <v/>
      </c>
      <c r="AP83" s="23">
        <f>IF(U83="","",IF(U83=1,5,1))</f>
        <v/>
      </c>
      <c r="AQ83" s="23">
        <f>IF(V83="","",V83)</f>
        <v/>
      </c>
      <c r="AR83" s="23">
        <f>IF(W83="","",IF('分位数阈值'!$D$16="","",IFS(W83&lt;='分位数阈值'!$G$16,5,W83&lt;='分位数阈值'!$F$16,4,W83&lt;='分位数阈值'!$E$16,3,W83&lt;='分位数阈值'!$D$16,2,TRUE,1)))</f>
        <v/>
      </c>
      <c r="AS83" s="23">
        <f>IF(X83="","",X83)</f>
        <v/>
      </c>
      <c r="AT83" s="23">
        <f>IF(Y83="","",Y83)</f>
        <v/>
      </c>
      <c r="AU83" s="10">
        <f>IF($A83="","",IF(OR(Z83=1,AR83=1,AJ83=1),"淘汰","通过"))</f>
        <v/>
      </c>
      <c r="AV83" s="10">
        <f>IF($A83="","",IF(OR(AA83=1,AR83=1,AND(AK83=1,AI83=1),AO83=1),"淘汰","通过"))</f>
        <v/>
      </c>
      <c r="AW83" s="24">
        <f>IF($A83="","",IF(AU83="淘汰","",ROUND(SUMPRODUCT(Z83:AT83,Z$2:AT$2)/5,1)))</f>
        <v/>
      </c>
      <c r="AX83" s="24">
        <f>IF($A83="","",IF(AV83="淘汰","",ROUND(SUMPRODUCT(Z83:AT83,Z$3:AT$3)/5,1)))</f>
        <v/>
      </c>
    </row>
    <row r="84" ht="15.75" customHeight="1" s="25">
      <c r="A84" s="22" t="n"/>
      <c r="B84" s="20" t="n"/>
      <c r="C84" s="22" t="n"/>
      <c r="D84" s="22" t="n"/>
      <c r="E84" s="22" t="n"/>
      <c r="F84" s="22" t="n"/>
      <c r="G84" s="21" t="n"/>
      <c r="H84" s="21" t="n"/>
      <c r="I84" s="21" t="n"/>
      <c r="J84" s="21" t="n"/>
      <c r="K84" s="21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3">
        <f>IF(E84="","",IF('分位数阈值'!$D$2="","",IFS(E84&gt;='分位数阈值'!$D$2,5,E84&gt;='分位数阈值'!$E$2,4,E84&gt;='分位数阈值'!$F$2,3,E84&gt;='分位数阈值'!$G$2,2,TRUE,1)))</f>
        <v/>
      </c>
      <c r="AA84" s="23">
        <f>IF(F84="","",IF('分位数阈值'!$D$3="","",IFS(F84&gt;='分位数阈值'!$D$3,5,F84&gt;='分位数阈值'!$E$3,4,F84&gt;='分位数阈值'!$F$3,3,F84&gt;='分位数阈值'!$G$3,2,TRUE,1)))</f>
        <v/>
      </c>
      <c r="AB84" s="23">
        <f>IF(G84="","",IF('分位数阈值'!$D$4="","",IFS(G84&gt;='分位数阈值'!$D$4,5,G84&gt;='分位数阈值'!$E$4,4,G84&gt;='分位数阈值'!$F$4,3,G84&gt;='分位数阈值'!$G$4,2,TRUE,1)))</f>
        <v/>
      </c>
      <c r="AC84" s="23">
        <f>IF(H84="","",IF('分位数阈值'!$D$5="","",IFS(H84&gt;='分位数阈值'!$D$5,5,H84&gt;='分位数阈值'!$E$5,4,H84&gt;='分位数阈值'!$F$5,3,H84&gt;='分位数阈值'!$G$5,2,TRUE,1)))</f>
        <v/>
      </c>
      <c r="AD84" s="23">
        <f>IF(I84="","",IF('分位数阈值'!$D$6="","",IFS(I84&gt;='分位数阈值'!$D$6,5,I84&gt;='分位数阈值'!$E$6,4,I84&gt;='分位数阈值'!$F$6,3,I84&gt;='分位数阈值'!$G$6,2,TRUE,1)))</f>
        <v/>
      </c>
      <c r="AE84" s="23">
        <f>IF(J84="","",IF('分位数阈值'!$D$7="","",IFS(J84&gt;='分位数阈值'!$D$7,5,J84&gt;='分位数阈值'!$E$7,4,J84&gt;='分位数阈值'!$F$7,3,J84&gt;='分位数阈值'!$G$7,2,TRUE,1)))</f>
        <v/>
      </c>
      <c r="AF84" s="23">
        <f>IF(K84="","",IF('分位数阈值'!$D$8="","",IFS(K84&gt;='分位数阈值'!$D$8,5,K84&gt;='分位数阈值'!$E$8,4,K84&gt;='分位数阈值'!$F$8,3,K84&gt;='分位数阈值'!$G$8,2,TRUE,1)))</f>
        <v/>
      </c>
      <c r="AG84" s="23">
        <f>IF(L84="","",IF('分位数阈值'!$D$9="","",IFS(L84&gt;='分位数阈值'!$D$9,5,L84&gt;='分位数阈值'!$E$9,4,L84&gt;='分位数阈值'!$F$9,3,L84&gt;='分位数阈值'!$G$9,2,TRUE,1)))</f>
        <v/>
      </c>
      <c r="AH84" s="23">
        <f>IF(M84="","",IF('分位数阈值'!$D$10="","",IFS(M84&lt;='分位数阈值'!$G$10,5,M84&lt;='分位数阈值'!$F$10,4,M84&lt;='分位数阈值'!$E$10,3,M84&lt;='分位数阈值'!$D$10,2,TRUE,1)))</f>
        <v/>
      </c>
      <c r="AI84" s="23">
        <f>IF(N84="","",IF('分位数阈值'!$D$11="","",IFS(N84&lt;='分位数阈值'!$G$11,5,N84&lt;='分位数阈值'!$F$11,4,N84&lt;='分位数阈值'!$E$11,3,N84&lt;='分位数阈值'!$D$11,2,TRUE,1)))</f>
        <v/>
      </c>
      <c r="AJ84" s="23">
        <f>IF(P84="","",IF(P84=1,1,5))</f>
        <v/>
      </c>
      <c r="AK84" s="23">
        <f>IF(Q84="","",IF(Q84=1,1,5))</f>
        <v/>
      </c>
      <c r="AL84" s="23">
        <f>IF(O84="","",IF('分位数阈值'!$D$12="","",IFS(O84&gt;='分位数阈值'!$D$12,5,O84&gt;='分位数阈值'!$E$12,4,O84&gt;='分位数阈值'!$F$12,3,O84&gt;='分位数阈值'!$G$12,2,TRUE,1)))</f>
        <v/>
      </c>
      <c r="AM84" s="23">
        <f>IF(R84="","",IF('分位数阈值'!$D$13="","",IFS(R84&lt;='分位数阈值'!$G$13,5,R84&lt;='分位数阈值'!$F$13,4,R84&lt;='分位数阈值'!$E$13,3,R84&lt;='分位数阈值'!$D$13,2,TRUE,1)))</f>
        <v/>
      </c>
      <c r="AN84" s="23">
        <f>IF(S84="","",IF('分位数阈值'!$D$14="","",IFS(S84&lt;='分位数阈值'!$G$14,5,S84&lt;='分位数阈值'!$F$14,4,S84&lt;='分位数阈值'!$E$14,3,S84&lt;='分位数阈值'!$D$14,2,TRUE,1)))</f>
        <v/>
      </c>
      <c r="AO84" s="23">
        <f>IF(T84="","",IF('分位数阈值'!$D$15="","",IFS(T84&lt;='分位数阈值'!$G$15,5,T84&lt;='分位数阈值'!$F$15,4,T84&lt;='分位数阈值'!$E$15,3,T84&lt;='分位数阈值'!$D$15,2,TRUE,1)))</f>
        <v/>
      </c>
      <c r="AP84" s="23">
        <f>IF(U84="","",IF(U84=1,5,1))</f>
        <v/>
      </c>
      <c r="AQ84" s="23">
        <f>IF(V84="","",V84)</f>
        <v/>
      </c>
      <c r="AR84" s="23">
        <f>IF(W84="","",IF('分位数阈值'!$D$16="","",IFS(W84&lt;='分位数阈值'!$G$16,5,W84&lt;='分位数阈值'!$F$16,4,W84&lt;='分位数阈值'!$E$16,3,W84&lt;='分位数阈值'!$D$16,2,TRUE,1)))</f>
        <v/>
      </c>
      <c r="AS84" s="23">
        <f>IF(X84="","",X84)</f>
        <v/>
      </c>
      <c r="AT84" s="23">
        <f>IF(Y84="","",Y84)</f>
        <v/>
      </c>
      <c r="AU84" s="10">
        <f>IF($A84="","",IF(OR(Z84=1,AR84=1,AJ84=1),"淘汰","通过"))</f>
        <v/>
      </c>
      <c r="AV84" s="10">
        <f>IF($A84="","",IF(OR(AA84=1,AR84=1,AND(AK84=1,AI84=1),AO84=1),"淘汰","通过"))</f>
        <v/>
      </c>
      <c r="AW84" s="24">
        <f>IF($A84="","",IF(AU84="淘汰","",ROUND(SUMPRODUCT(Z84:AT84,Z$2:AT$2)/5,1)))</f>
        <v/>
      </c>
      <c r="AX84" s="24">
        <f>IF($A84="","",IF(AV84="淘汰","",ROUND(SUMPRODUCT(Z84:AT84,Z$3:AT$3)/5,1)))</f>
        <v/>
      </c>
    </row>
    <row r="85" ht="15.75" customHeight="1" s="25">
      <c r="A85" s="22" t="n"/>
      <c r="B85" s="20" t="n"/>
      <c r="C85" s="22" t="n"/>
      <c r="D85" s="22" t="n"/>
      <c r="E85" s="22" t="n"/>
      <c r="F85" s="22" t="n"/>
      <c r="G85" s="21" t="n"/>
      <c r="H85" s="21" t="n"/>
      <c r="I85" s="21" t="n"/>
      <c r="J85" s="21" t="n"/>
      <c r="K85" s="21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3">
        <f>IF(E85="","",IF('分位数阈值'!$D$2="","",IFS(E85&gt;='分位数阈值'!$D$2,5,E85&gt;='分位数阈值'!$E$2,4,E85&gt;='分位数阈值'!$F$2,3,E85&gt;='分位数阈值'!$G$2,2,TRUE,1)))</f>
        <v/>
      </c>
      <c r="AA85" s="23">
        <f>IF(F85="","",IF('分位数阈值'!$D$3="","",IFS(F85&gt;='分位数阈值'!$D$3,5,F85&gt;='分位数阈值'!$E$3,4,F85&gt;='分位数阈值'!$F$3,3,F85&gt;='分位数阈值'!$G$3,2,TRUE,1)))</f>
        <v/>
      </c>
      <c r="AB85" s="23">
        <f>IF(G85="","",IF('分位数阈值'!$D$4="","",IFS(G85&gt;='分位数阈值'!$D$4,5,G85&gt;='分位数阈值'!$E$4,4,G85&gt;='分位数阈值'!$F$4,3,G85&gt;='分位数阈值'!$G$4,2,TRUE,1)))</f>
        <v/>
      </c>
      <c r="AC85" s="23">
        <f>IF(H85="","",IF('分位数阈值'!$D$5="","",IFS(H85&gt;='分位数阈值'!$D$5,5,H85&gt;='分位数阈值'!$E$5,4,H85&gt;='分位数阈值'!$F$5,3,H85&gt;='分位数阈值'!$G$5,2,TRUE,1)))</f>
        <v/>
      </c>
      <c r="AD85" s="23">
        <f>IF(I85="","",IF('分位数阈值'!$D$6="","",IFS(I85&gt;='分位数阈值'!$D$6,5,I85&gt;='分位数阈值'!$E$6,4,I85&gt;='分位数阈值'!$F$6,3,I85&gt;='分位数阈值'!$G$6,2,TRUE,1)))</f>
        <v/>
      </c>
      <c r="AE85" s="23">
        <f>IF(J85="","",IF('分位数阈值'!$D$7="","",IFS(J85&gt;='分位数阈值'!$D$7,5,J85&gt;='分位数阈值'!$E$7,4,J85&gt;='分位数阈值'!$F$7,3,J85&gt;='分位数阈值'!$G$7,2,TRUE,1)))</f>
        <v/>
      </c>
      <c r="AF85" s="23">
        <f>IF(K85="","",IF('分位数阈值'!$D$8="","",IFS(K85&gt;='分位数阈值'!$D$8,5,K85&gt;='分位数阈值'!$E$8,4,K85&gt;='分位数阈值'!$F$8,3,K85&gt;='分位数阈值'!$G$8,2,TRUE,1)))</f>
        <v/>
      </c>
      <c r="AG85" s="23">
        <f>IF(L85="","",IF('分位数阈值'!$D$9="","",IFS(L85&gt;='分位数阈值'!$D$9,5,L85&gt;='分位数阈值'!$E$9,4,L85&gt;='分位数阈值'!$F$9,3,L85&gt;='分位数阈值'!$G$9,2,TRUE,1)))</f>
        <v/>
      </c>
      <c r="AH85" s="23">
        <f>IF(M85="","",IF('分位数阈值'!$D$10="","",IFS(M85&lt;='分位数阈值'!$G$10,5,M85&lt;='分位数阈值'!$F$10,4,M85&lt;='分位数阈值'!$E$10,3,M85&lt;='分位数阈值'!$D$10,2,TRUE,1)))</f>
        <v/>
      </c>
      <c r="AI85" s="23">
        <f>IF(N85="","",IF('分位数阈值'!$D$11="","",IFS(N85&lt;='分位数阈值'!$G$11,5,N85&lt;='分位数阈值'!$F$11,4,N85&lt;='分位数阈值'!$E$11,3,N85&lt;='分位数阈值'!$D$11,2,TRUE,1)))</f>
        <v/>
      </c>
      <c r="AJ85" s="23">
        <f>IF(P85="","",IF(P85=1,1,5))</f>
        <v/>
      </c>
      <c r="AK85" s="23">
        <f>IF(Q85="","",IF(Q85=1,1,5))</f>
        <v/>
      </c>
      <c r="AL85" s="23">
        <f>IF(O85="","",IF('分位数阈值'!$D$12="","",IFS(O85&gt;='分位数阈值'!$D$12,5,O85&gt;='分位数阈值'!$E$12,4,O85&gt;='分位数阈值'!$F$12,3,O85&gt;='分位数阈值'!$G$12,2,TRUE,1)))</f>
        <v/>
      </c>
      <c r="AM85" s="23">
        <f>IF(R85="","",IF('分位数阈值'!$D$13="","",IFS(R85&lt;='分位数阈值'!$G$13,5,R85&lt;='分位数阈值'!$F$13,4,R85&lt;='分位数阈值'!$E$13,3,R85&lt;='分位数阈值'!$D$13,2,TRUE,1)))</f>
        <v/>
      </c>
      <c r="AN85" s="23">
        <f>IF(S85="","",IF('分位数阈值'!$D$14="","",IFS(S85&lt;='分位数阈值'!$G$14,5,S85&lt;='分位数阈值'!$F$14,4,S85&lt;='分位数阈值'!$E$14,3,S85&lt;='分位数阈值'!$D$14,2,TRUE,1)))</f>
        <v/>
      </c>
      <c r="AO85" s="23">
        <f>IF(T85="","",IF('分位数阈值'!$D$15="","",IFS(T85&lt;='分位数阈值'!$G$15,5,T85&lt;='分位数阈值'!$F$15,4,T85&lt;='分位数阈值'!$E$15,3,T85&lt;='分位数阈值'!$D$15,2,TRUE,1)))</f>
        <v/>
      </c>
      <c r="AP85" s="23">
        <f>IF(U85="","",IF(U85=1,5,1))</f>
        <v/>
      </c>
      <c r="AQ85" s="23">
        <f>IF(V85="","",V85)</f>
        <v/>
      </c>
      <c r="AR85" s="23">
        <f>IF(W85="","",IF('分位数阈值'!$D$16="","",IFS(W85&lt;='分位数阈值'!$G$16,5,W85&lt;='分位数阈值'!$F$16,4,W85&lt;='分位数阈值'!$E$16,3,W85&lt;='分位数阈值'!$D$16,2,TRUE,1)))</f>
        <v/>
      </c>
      <c r="AS85" s="23">
        <f>IF(X85="","",X85)</f>
        <v/>
      </c>
      <c r="AT85" s="23">
        <f>IF(Y85="","",Y85)</f>
        <v/>
      </c>
      <c r="AU85" s="10">
        <f>IF($A85="","",IF(OR(Z85=1,AR85=1,AJ85=1),"淘汰","通过"))</f>
        <v/>
      </c>
      <c r="AV85" s="10">
        <f>IF($A85="","",IF(OR(AA85=1,AR85=1,AND(AK85=1,AI85=1),AO85=1),"淘汰","通过"))</f>
        <v/>
      </c>
      <c r="AW85" s="24">
        <f>IF($A85="","",IF(AU85="淘汰","",ROUND(SUMPRODUCT(Z85:AT85,Z$2:AT$2)/5,1)))</f>
        <v/>
      </c>
      <c r="AX85" s="24">
        <f>IF($A85="","",IF(AV85="淘汰","",ROUND(SUMPRODUCT(Z85:AT85,Z$3:AT$3)/5,1)))</f>
        <v/>
      </c>
    </row>
    <row r="86" ht="15.75" customHeight="1" s="25">
      <c r="A86" s="22" t="n"/>
      <c r="B86" s="20" t="n"/>
      <c r="C86" s="22" t="n"/>
      <c r="D86" s="22" t="n"/>
      <c r="E86" s="22" t="n"/>
      <c r="F86" s="22" t="n"/>
      <c r="G86" s="21" t="n"/>
      <c r="H86" s="21" t="n"/>
      <c r="I86" s="21" t="n"/>
      <c r="J86" s="21" t="n"/>
      <c r="K86" s="21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3">
        <f>IF(E86="","",IF('分位数阈值'!$D$2="","",IFS(E86&gt;='分位数阈值'!$D$2,5,E86&gt;='分位数阈值'!$E$2,4,E86&gt;='分位数阈值'!$F$2,3,E86&gt;='分位数阈值'!$G$2,2,TRUE,1)))</f>
        <v/>
      </c>
      <c r="AA86" s="23">
        <f>IF(F86="","",IF('分位数阈值'!$D$3="","",IFS(F86&gt;='分位数阈值'!$D$3,5,F86&gt;='分位数阈值'!$E$3,4,F86&gt;='分位数阈值'!$F$3,3,F86&gt;='分位数阈值'!$G$3,2,TRUE,1)))</f>
        <v/>
      </c>
      <c r="AB86" s="23">
        <f>IF(G86="","",IF('分位数阈值'!$D$4="","",IFS(G86&gt;='分位数阈值'!$D$4,5,G86&gt;='分位数阈值'!$E$4,4,G86&gt;='分位数阈值'!$F$4,3,G86&gt;='分位数阈值'!$G$4,2,TRUE,1)))</f>
        <v/>
      </c>
      <c r="AC86" s="23">
        <f>IF(H86="","",IF('分位数阈值'!$D$5="","",IFS(H86&gt;='分位数阈值'!$D$5,5,H86&gt;='分位数阈值'!$E$5,4,H86&gt;='分位数阈值'!$F$5,3,H86&gt;='分位数阈值'!$G$5,2,TRUE,1)))</f>
        <v/>
      </c>
      <c r="AD86" s="23">
        <f>IF(I86="","",IF('分位数阈值'!$D$6="","",IFS(I86&gt;='分位数阈值'!$D$6,5,I86&gt;='分位数阈值'!$E$6,4,I86&gt;='分位数阈值'!$F$6,3,I86&gt;='分位数阈值'!$G$6,2,TRUE,1)))</f>
        <v/>
      </c>
      <c r="AE86" s="23">
        <f>IF(J86="","",IF('分位数阈值'!$D$7="","",IFS(J86&gt;='分位数阈值'!$D$7,5,J86&gt;='分位数阈值'!$E$7,4,J86&gt;='分位数阈值'!$F$7,3,J86&gt;='分位数阈值'!$G$7,2,TRUE,1)))</f>
        <v/>
      </c>
      <c r="AF86" s="23">
        <f>IF(K86="","",IF('分位数阈值'!$D$8="","",IFS(K86&gt;='分位数阈值'!$D$8,5,K86&gt;='分位数阈值'!$E$8,4,K86&gt;='分位数阈值'!$F$8,3,K86&gt;='分位数阈值'!$G$8,2,TRUE,1)))</f>
        <v/>
      </c>
      <c r="AG86" s="23">
        <f>IF(L86="","",IF('分位数阈值'!$D$9="","",IFS(L86&gt;='分位数阈值'!$D$9,5,L86&gt;='分位数阈值'!$E$9,4,L86&gt;='分位数阈值'!$F$9,3,L86&gt;='分位数阈值'!$G$9,2,TRUE,1)))</f>
        <v/>
      </c>
      <c r="AH86" s="23">
        <f>IF(M86="","",IF('分位数阈值'!$D$10="","",IFS(M86&lt;='分位数阈值'!$G$10,5,M86&lt;='分位数阈值'!$F$10,4,M86&lt;='分位数阈值'!$E$10,3,M86&lt;='分位数阈值'!$D$10,2,TRUE,1)))</f>
        <v/>
      </c>
      <c r="AI86" s="23">
        <f>IF(N86="","",IF('分位数阈值'!$D$11="","",IFS(N86&lt;='分位数阈值'!$G$11,5,N86&lt;='分位数阈值'!$F$11,4,N86&lt;='分位数阈值'!$E$11,3,N86&lt;='分位数阈值'!$D$11,2,TRUE,1)))</f>
        <v/>
      </c>
      <c r="AJ86" s="23">
        <f>IF(P86="","",IF(P86=1,1,5))</f>
        <v/>
      </c>
      <c r="AK86" s="23">
        <f>IF(Q86="","",IF(Q86=1,1,5))</f>
        <v/>
      </c>
      <c r="AL86" s="23">
        <f>IF(O86="","",IF('分位数阈值'!$D$12="","",IFS(O86&gt;='分位数阈值'!$D$12,5,O86&gt;='分位数阈值'!$E$12,4,O86&gt;='分位数阈值'!$F$12,3,O86&gt;='分位数阈值'!$G$12,2,TRUE,1)))</f>
        <v/>
      </c>
      <c r="AM86" s="23">
        <f>IF(R86="","",IF('分位数阈值'!$D$13="","",IFS(R86&lt;='分位数阈值'!$G$13,5,R86&lt;='分位数阈值'!$F$13,4,R86&lt;='分位数阈值'!$E$13,3,R86&lt;='分位数阈值'!$D$13,2,TRUE,1)))</f>
        <v/>
      </c>
      <c r="AN86" s="23">
        <f>IF(S86="","",IF('分位数阈值'!$D$14="","",IFS(S86&lt;='分位数阈值'!$G$14,5,S86&lt;='分位数阈值'!$F$14,4,S86&lt;='分位数阈值'!$E$14,3,S86&lt;='分位数阈值'!$D$14,2,TRUE,1)))</f>
        <v/>
      </c>
      <c r="AO86" s="23">
        <f>IF(T86="","",IF('分位数阈值'!$D$15="","",IFS(T86&lt;='分位数阈值'!$G$15,5,T86&lt;='分位数阈值'!$F$15,4,T86&lt;='分位数阈值'!$E$15,3,T86&lt;='分位数阈值'!$D$15,2,TRUE,1)))</f>
        <v/>
      </c>
      <c r="AP86" s="23">
        <f>IF(U86="","",IF(U86=1,5,1))</f>
        <v/>
      </c>
      <c r="AQ86" s="23">
        <f>IF(V86="","",V86)</f>
        <v/>
      </c>
      <c r="AR86" s="23">
        <f>IF(W86="","",IF('分位数阈值'!$D$16="","",IFS(W86&lt;='分位数阈值'!$G$16,5,W86&lt;='分位数阈值'!$F$16,4,W86&lt;='分位数阈值'!$E$16,3,W86&lt;='分位数阈值'!$D$16,2,TRUE,1)))</f>
        <v/>
      </c>
      <c r="AS86" s="23">
        <f>IF(X86="","",X86)</f>
        <v/>
      </c>
      <c r="AT86" s="23">
        <f>IF(Y86="","",Y86)</f>
        <v/>
      </c>
      <c r="AU86" s="10">
        <f>IF($A86="","",IF(OR(Z86=1,AR86=1,AJ86=1),"淘汰","通过"))</f>
        <v/>
      </c>
      <c r="AV86" s="10">
        <f>IF($A86="","",IF(OR(AA86=1,AR86=1,AND(AK86=1,AI86=1),AO86=1),"淘汰","通过"))</f>
        <v/>
      </c>
      <c r="AW86" s="24">
        <f>IF($A86="","",IF(AU86="淘汰","",ROUND(SUMPRODUCT(Z86:AT86,Z$2:AT$2)/5,1)))</f>
        <v/>
      </c>
      <c r="AX86" s="24">
        <f>IF($A86="","",IF(AV86="淘汰","",ROUND(SUMPRODUCT(Z86:AT86,Z$3:AT$3)/5,1)))</f>
        <v/>
      </c>
    </row>
    <row r="87" ht="15.75" customHeight="1" s="25">
      <c r="A87" s="22" t="n"/>
      <c r="B87" s="20" t="n"/>
      <c r="C87" s="22" t="n"/>
      <c r="D87" s="22" t="n"/>
      <c r="E87" s="22" t="n"/>
      <c r="F87" s="22" t="n"/>
      <c r="G87" s="21" t="n"/>
      <c r="H87" s="21" t="n"/>
      <c r="I87" s="21" t="n"/>
      <c r="J87" s="21" t="n"/>
      <c r="K87" s="21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3">
        <f>IF(E87="","",IF('分位数阈值'!$D$2="","",IFS(E87&gt;='分位数阈值'!$D$2,5,E87&gt;='分位数阈值'!$E$2,4,E87&gt;='分位数阈值'!$F$2,3,E87&gt;='分位数阈值'!$G$2,2,TRUE,1)))</f>
        <v/>
      </c>
      <c r="AA87" s="23">
        <f>IF(F87="","",IF('分位数阈值'!$D$3="","",IFS(F87&gt;='分位数阈值'!$D$3,5,F87&gt;='分位数阈值'!$E$3,4,F87&gt;='分位数阈值'!$F$3,3,F87&gt;='分位数阈值'!$G$3,2,TRUE,1)))</f>
        <v/>
      </c>
      <c r="AB87" s="23">
        <f>IF(G87="","",IF('分位数阈值'!$D$4="","",IFS(G87&gt;='分位数阈值'!$D$4,5,G87&gt;='分位数阈值'!$E$4,4,G87&gt;='分位数阈值'!$F$4,3,G87&gt;='分位数阈值'!$G$4,2,TRUE,1)))</f>
        <v/>
      </c>
      <c r="AC87" s="23">
        <f>IF(H87="","",IF('分位数阈值'!$D$5="","",IFS(H87&gt;='分位数阈值'!$D$5,5,H87&gt;='分位数阈值'!$E$5,4,H87&gt;='分位数阈值'!$F$5,3,H87&gt;='分位数阈值'!$G$5,2,TRUE,1)))</f>
        <v/>
      </c>
      <c r="AD87" s="23">
        <f>IF(I87="","",IF('分位数阈值'!$D$6="","",IFS(I87&gt;='分位数阈值'!$D$6,5,I87&gt;='分位数阈值'!$E$6,4,I87&gt;='分位数阈值'!$F$6,3,I87&gt;='分位数阈值'!$G$6,2,TRUE,1)))</f>
        <v/>
      </c>
      <c r="AE87" s="23">
        <f>IF(J87="","",IF('分位数阈值'!$D$7="","",IFS(J87&gt;='分位数阈值'!$D$7,5,J87&gt;='分位数阈值'!$E$7,4,J87&gt;='分位数阈值'!$F$7,3,J87&gt;='分位数阈值'!$G$7,2,TRUE,1)))</f>
        <v/>
      </c>
      <c r="AF87" s="23">
        <f>IF(K87="","",IF('分位数阈值'!$D$8="","",IFS(K87&gt;='分位数阈值'!$D$8,5,K87&gt;='分位数阈值'!$E$8,4,K87&gt;='分位数阈值'!$F$8,3,K87&gt;='分位数阈值'!$G$8,2,TRUE,1)))</f>
        <v/>
      </c>
      <c r="AG87" s="23">
        <f>IF(L87="","",IF('分位数阈值'!$D$9="","",IFS(L87&gt;='分位数阈值'!$D$9,5,L87&gt;='分位数阈值'!$E$9,4,L87&gt;='分位数阈值'!$F$9,3,L87&gt;='分位数阈值'!$G$9,2,TRUE,1)))</f>
        <v/>
      </c>
      <c r="AH87" s="23">
        <f>IF(M87="","",IF('分位数阈值'!$D$10="","",IFS(M87&lt;='分位数阈值'!$G$10,5,M87&lt;='分位数阈值'!$F$10,4,M87&lt;='分位数阈值'!$E$10,3,M87&lt;='分位数阈值'!$D$10,2,TRUE,1)))</f>
        <v/>
      </c>
      <c r="AI87" s="23">
        <f>IF(N87="","",IF('分位数阈值'!$D$11="","",IFS(N87&lt;='分位数阈值'!$G$11,5,N87&lt;='分位数阈值'!$F$11,4,N87&lt;='分位数阈值'!$E$11,3,N87&lt;='分位数阈值'!$D$11,2,TRUE,1)))</f>
        <v/>
      </c>
      <c r="AJ87" s="23">
        <f>IF(P87="","",IF(P87=1,1,5))</f>
        <v/>
      </c>
      <c r="AK87" s="23">
        <f>IF(Q87="","",IF(Q87=1,1,5))</f>
        <v/>
      </c>
      <c r="AL87" s="23">
        <f>IF(O87="","",IF('分位数阈值'!$D$12="","",IFS(O87&gt;='分位数阈值'!$D$12,5,O87&gt;='分位数阈值'!$E$12,4,O87&gt;='分位数阈值'!$F$12,3,O87&gt;='分位数阈值'!$G$12,2,TRUE,1)))</f>
        <v/>
      </c>
      <c r="AM87" s="23">
        <f>IF(R87="","",IF('分位数阈值'!$D$13="","",IFS(R87&lt;='分位数阈值'!$G$13,5,R87&lt;='分位数阈值'!$F$13,4,R87&lt;='分位数阈值'!$E$13,3,R87&lt;='分位数阈值'!$D$13,2,TRUE,1)))</f>
        <v/>
      </c>
      <c r="AN87" s="23">
        <f>IF(S87="","",IF('分位数阈值'!$D$14="","",IFS(S87&lt;='分位数阈值'!$G$14,5,S87&lt;='分位数阈值'!$F$14,4,S87&lt;='分位数阈值'!$E$14,3,S87&lt;='分位数阈值'!$D$14,2,TRUE,1)))</f>
        <v/>
      </c>
      <c r="AO87" s="23">
        <f>IF(T87="","",IF('分位数阈值'!$D$15="","",IFS(T87&lt;='分位数阈值'!$G$15,5,T87&lt;='分位数阈值'!$F$15,4,T87&lt;='分位数阈值'!$E$15,3,T87&lt;='分位数阈值'!$D$15,2,TRUE,1)))</f>
        <v/>
      </c>
      <c r="AP87" s="23">
        <f>IF(U87="","",IF(U87=1,5,1))</f>
        <v/>
      </c>
      <c r="AQ87" s="23">
        <f>IF(V87="","",V87)</f>
        <v/>
      </c>
      <c r="AR87" s="23">
        <f>IF(W87="","",IF('分位数阈值'!$D$16="","",IFS(W87&lt;='分位数阈值'!$G$16,5,W87&lt;='分位数阈值'!$F$16,4,W87&lt;='分位数阈值'!$E$16,3,W87&lt;='分位数阈值'!$D$16,2,TRUE,1)))</f>
        <v/>
      </c>
      <c r="AS87" s="23">
        <f>IF(X87="","",X87)</f>
        <v/>
      </c>
      <c r="AT87" s="23">
        <f>IF(Y87="","",Y87)</f>
        <v/>
      </c>
      <c r="AU87" s="10">
        <f>IF($A87="","",IF(OR(Z87=1,AR87=1,AJ87=1),"淘汰","通过"))</f>
        <v/>
      </c>
      <c r="AV87" s="10">
        <f>IF($A87="","",IF(OR(AA87=1,AR87=1,AND(AK87=1,AI87=1),AO87=1),"淘汰","通过"))</f>
        <v/>
      </c>
      <c r="AW87" s="24">
        <f>IF($A87="","",IF(AU87="淘汰","",ROUND(SUMPRODUCT(Z87:AT87,Z$2:AT$2)/5,1)))</f>
        <v/>
      </c>
      <c r="AX87" s="24">
        <f>IF($A87="","",IF(AV87="淘汰","",ROUND(SUMPRODUCT(Z87:AT87,Z$3:AT$3)/5,1)))</f>
        <v/>
      </c>
    </row>
    <row r="88" ht="15.75" customHeight="1" s="25">
      <c r="A88" s="22" t="n"/>
      <c r="B88" s="20" t="n"/>
      <c r="C88" s="22" t="n"/>
      <c r="D88" s="22" t="n"/>
      <c r="E88" s="22" t="n"/>
      <c r="F88" s="22" t="n"/>
      <c r="G88" s="21" t="n"/>
      <c r="H88" s="21" t="n"/>
      <c r="I88" s="21" t="n"/>
      <c r="J88" s="21" t="n"/>
      <c r="K88" s="21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3">
        <f>IF(E88="","",IF('分位数阈值'!$D$2="","",IFS(E88&gt;='分位数阈值'!$D$2,5,E88&gt;='分位数阈值'!$E$2,4,E88&gt;='分位数阈值'!$F$2,3,E88&gt;='分位数阈值'!$G$2,2,TRUE,1)))</f>
        <v/>
      </c>
      <c r="AA88" s="23">
        <f>IF(F88="","",IF('分位数阈值'!$D$3="","",IFS(F88&gt;='分位数阈值'!$D$3,5,F88&gt;='分位数阈值'!$E$3,4,F88&gt;='分位数阈值'!$F$3,3,F88&gt;='分位数阈值'!$G$3,2,TRUE,1)))</f>
        <v/>
      </c>
      <c r="AB88" s="23">
        <f>IF(G88="","",IF('分位数阈值'!$D$4="","",IFS(G88&gt;='分位数阈值'!$D$4,5,G88&gt;='分位数阈值'!$E$4,4,G88&gt;='分位数阈值'!$F$4,3,G88&gt;='分位数阈值'!$G$4,2,TRUE,1)))</f>
        <v/>
      </c>
      <c r="AC88" s="23">
        <f>IF(H88="","",IF('分位数阈值'!$D$5="","",IFS(H88&gt;='分位数阈值'!$D$5,5,H88&gt;='分位数阈值'!$E$5,4,H88&gt;='分位数阈值'!$F$5,3,H88&gt;='分位数阈值'!$G$5,2,TRUE,1)))</f>
        <v/>
      </c>
      <c r="AD88" s="23">
        <f>IF(I88="","",IF('分位数阈值'!$D$6="","",IFS(I88&gt;='分位数阈值'!$D$6,5,I88&gt;='分位数阈值'!$E$6,4,I88&gt;='分位数阈值'!$F$6,3,I88&gt;='分位数阈值'!$G$6,2,TRUE,1)))</f>
        <v/>
      </c>
      <c r="AE88" s="23">
        <f>IF(J88="","",IF('分位数阈值'!$D$7="","",IFS(J88&gt;='分位数阈值'!$D$7,5,J88&gt;='分位数阈值'!$E$7,4,J88&gt;='分位数阈值'!$F$7,3,J88&gt;='分位数阈值'!$G$7,2,TRUE,1)))</f>
        <v/>
      </c>
      <c r="AF88" s="23">
        <f>IF(K88="","",IF('分位数阈值'!$D$8="","",IFS(K88&gt;='分位数阈值'!$D$8,5,K88&gt;='分位数阈值'!$E$8,4,K88&gt;='分位数阈值'!$F$8,3,K88&gt;='分位数阈值'!$G$8,2,TRUE,1)))</f>
        <v/>
      </c>
      <c r="AG88" s="23">
        <f>IF(L88="","",IF('分位数阈值'!$D$9="","",IFS(L88&gt;='分位数阈值'!$D$9,5,L88&gt;='分位数阈值'!$E$9,4,L88&gt;='分位数阈值'!$F$9,3,L88&gt;='分位数阈值'!$G$9,2,TRUE,1)))</f>
        <v/>
      </c>
      <c r="AH88" s="23">
        <f>IF(M88="","",IF('分位数阈值'!$D$10="","",IFS(M88&lt;='分位数阈值'!$G$10,5,M88&lt;='分位数阈值'!$F$10,4,M88&lt;='分位数阈值'!$E$10,3,M88&lt;='分位数阈值'!$D$10,2,TRUE,1)))</f>
        <v/>
      </c>
      <c r="AI88" s="23">
        <f>IF(N88="","",IF('分位数阈值'!$D$11="","",IFS(N88&lt;='分位数阈值'!$G$11,5,N88&lt;='分位数阈值'!$F$11,4,N88&lt;='分位数阈值'!$E$11,3,N88&lt;='分位数阈值'!$D$11,2,TRUE,1)))</f>
        <v/>
      </c>
      <c r="AJ88" s="23">
        <f>IF(P88="","",IF(P88=1,1,5))</f>
        <v/>
      </c>
      <c r="AK88" s="23">
        <f>IF(Q88="","",IF(Q88=1,1,5))</f>
        <v/>
      </c>
      <c r="AL88" s="23">
        <f>IF(O88="","",IF('分位数阈值'!$D$12="","",IFS(O88&gt;='分位数阈值'!$D$12,5,O88&gt;='分位数阈值'!$E$12,4,O88&gt;='分位数阈值'!$F$12,3,O88&gt;='分位数阈值'!$G$12,2,TRUE,1)))</f>
        <v/>
      </c>
      <c r="AM88" s="23">
        <f>IF(R88="","",IF('分位数阈值'!$D$13="","",IFS(R88&lt;='分位数阈值'!$G$13,5,R88&lt;='分位数阈值'!$F$13,4,R88&lt;='分位数阈值'!$E$13,3,R88&lt;='分位数阈值'!$D$13,2,TRUE,1)))</f>
        <v/>
      </c>
      <c r="AN88" s="23">
        <f>IF(S88="","",IF('分位数阈值'!$D$14="","",IFS(S88&lt;='分位数阈值'!$G$14,5,S88&lt;='分位数阈值'!$F$14,4,S88&lt;='分位数阈值'!$E$14,3,S88&lt;='分位数阈值'!$D$14,2,TRUE,1)))</f>
        <v/>
      </c>
      <c r="AO88" s="23">
        <f>IF(T88="","",IF('分位数阈值'!$D$15="","",IFS(T88&lt;='分位数阈值'!$G$15,5,T88&lt;='分位数阈值'!$F$15,4,T88&lt;='分位数阈值'!$E$15,3,T88&lt;='分位数阈值'!$D$15,2,TRUE,1)))</f>
        <v/>
      </c>
      <c r="AP88" s="23">
        <f>IF(U88="","",IF(U88=1,5,1))</f>
        <v/>
      </c>
      <c r="AQ88" s="23">
        <f>IF(V88="","",V88)</f>
        <v/>
      </c>
      <c r="AR88" s="23">
        <f>IF(W88="","",IF('分位数阈值'!$D$16="","",IFS(W88&lt;='分位数阈值'!$G$16,5,W88&lt;='分位数阈值'!$F$16,4,W88&lt;='分位数阈值'!$E$16,3,W88&lt;='分位数阈值'!$D$16,2,TRUE,1)))</f>
        <v/>
      </c>
      <c r="AS88" s="23">
        <f>IF(X88="","",X88)</f>
        <v/>
      </c>
      <c r="AT88" s="23">
        <f>IF(Y88="","",Y88)</f>
        <v/>
      </c>
      <c r="AU88" s="10">
        <f>IF($A88="","",IF(OR(Z88=1,AR88=1,AJ88=1),"淘汰","通过"))</f>
        <v/>
      </c>
      <c r="AV88" s="10">
        <f>IF($A88="","",IF(OR(AA88=1,AR88=1,AND(AK88=1,AI88=1),AO88=1),"淘汰","通过"))</f>
        <v/>
      </c>
      <c r="AW88" s="24">
        <f>IF($A88="","",IF(AU88="淘汰","",ROUND(SUMPRODUCT(Z88:AT88,Z$2:AT$2)/5,1)))</f>
        <v/>
      </c>
      <c r="AX88" s="24">
        <f>IF($A88="","",IF(AV88="淘汰","",ROUND(SUMPRODUCT(Z88:AT88,Z$3:AT$3)/5,1)))</f>
        <v/>
      </c>
    </row>
    <row r="89" ht="15.75" customHeight="1" s="25">
      <c r="A89" s="22" t="n"/>
      <c r="B89" s="20" t="n"/>
      <c r="C89" s="22" t="n"/>
      <c r="D89" s="22" t="n"/>
      <c r="E89" s="22" t="n"/>
      <c r="F89" s="22" t="n"/>
      <c r="G89" s="21" t="n"/>
      <c r="H89" s="21" t="n"/>
      <c r="I89" s="21" t="n"/>
      <c r="J89" s="21" t="n"/>
      <c r="K89" s="21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3">
        <f>IF(E89="","",IF('分位数阈值'!$D$2="","",IFS(E89&gt;='分位数阈值'!$D$2,5,E89&gt;='分位数阈值'!$E$2,4,E89&gt;='分位数阈值'!$F$2,3,E89&gt;='分位数阈值'!$G$2,2,TRUE,1)))</f>
        <v/>
      </c>
      <c r="AA89" s="23">
        <f>IF(F89="","",IF('分位数阈值'!$D$3="","",IFS(F89&gt;='分位数阈值'!$D$3,5,F89&gt;='分位数阈值'!$E$3,4,F89&gt;='分位数阈值'!$F$3,3,F89&gt;='分位数阈值'!$G$3,2,TRUE,1)))</f>
        <v/>
      </c>
      <c r="AB89" s="23">
        <f>IF(G89="","",IF('分位数阈值'!$D$4="","",IFS(G89&gt;='分位数阈值'!$D$4,5,G89&gt;='分位数阈值'!$E$4,4,G89&gt;='分位数阈值'!$F$4,3,G89&gt;='分位数阈值'!$G$4,2,TRUE,1)))</f>
        <v/>
      </c>
      <c r="AC89" s="23">
        <f>IF(H89="","",IF('分位数阈值'!$D$5="","",IFS(H89&gt;='分位数阈值'!$D$5,5,H89&gt;='分位数阈值'!$E$5,4,H89&gt;='分位数阈值'!$F$5,3,H89&gt;='分位数阈值'!$G$5,2,TRUE,1)))</f>
        <v/>
      </c>
      <c r="AD89" s="23">
        <f>IF(I89="","",IF('分位数阈值'!$D$6="","",IFS(I89&gt;='分位数阈值'!$D$6,5,I89&gt;='分位数阈值'!$E$6,4,I89&gt;='分位数阈值'!$F$6,3,I89&gt;='分位数阈值'!$G$6,2,TRUE,1)))</f>
        <v/>
      </c>
      <c r="AE89" s="23">
        <f>IF(J89="","",IF('分位数阈值'!$D$7="","",IFS(J89&gt;='分位数阈值'!$D$7,5,J89&gt;='分位数阈值'!$E$7,4,J89&gt;='分位数阈值'!$F$7,3,J89&gt;='分位数阈值'!$G$7,2,TRUE,1)))</f>
        <v/>
      </c>
      <c r="AF89" s="23">
        <f>IF(K89="","",IF('分位数阈值'!$D$8="","",IFS(K89&gt;='分位数阈值'!$D$8,5,K89&gt;='分位数阈值'!$E$8,4,K89&gt;='分位数阈值'!$F$8,3,K89&gt;='分位数阈值'!$G$8,2,TRUE,1)))</f>
        <v/>
      </c>
      <c r="AG89" s="23">
        <f>IF(L89="","",IF('分位数阈值'!$D$9="","",IFS(L89&gt;='分位数阈值'!$D$9,5,L89&gt;='分位数阈值'!$E$9,4,L89&gt;='分位数阈值'!$F$9,3,L89&gt;='分位数阈值'!$G$9,2,TRUE,1)))</f>
        <v/>
      </c>
      <c r="AH89" s="23">
        <f>IF(M89="","",IF('分位数阈值'!$D$10="","",IFS(M89&lt;='分位数阈值'!$G$10,5,M89&lt;='分位数阈值'!$F$10,4,M89&lt;='分位数阈值'!$E$10,3,M89&lt;='分位数阈值'!$D$10,2,TRUE,1)))</f>
        <v/>
      </c>
      <c r="AI89" s="23">
        <f>IF(N89="","",IF('分位数阈值'!$D$11="","",IFS(N89&lt;='分位数阈值'!$G$11,5,N89&lt;='分位数阈值'!$F$11,4,N89&lt;='分位数阈值'!$E$11,3,N89&lt;='分位数阈值'!$D$11,2,TRUE,1)))</f>
        <v/>
      </c>
      <c r="AJ89" s="23">
        <f>IF(P89="","",IF(P89=1,1,5))</f>
        <v/>
      </c>
      <c r="AK89" s="23">
        <f>IF(Q89="","",IF(Q89=1,1,5))</f>
        <v/>
      </c>
      <c r="AL89" s="23">
        <f>IF(O89="","",IF('分位数阈值'!$D$12="","",IFS(O89&gt;='分位数阈值'!$D$12,5,O89&gt;='分位数阈值'!$E$12,4,O89&gt;='分位数阈值'!$F$12,3,O89&gt;='分位数阈值'!$G$12,2,TRUE,1)))</f>
        <v/>
      </c>
      <c r="AM89" s="23">
        <f>IF(R89="","",IF('分位数阈值'!$D$13="","",IFS(R89&lt;='分位数阈值'!$G$13,5,R89&lt;='分位数阈值'!$F$13,4,R89&lt;='分位数阈值'!$E$13,3,R89&lt;='分位数阈值'!$D$13,2,TRUE,1)))</f>
        <v/>
      </c>
      <c r="AN89" s="23">
        <f>IF(S89="","",IF('分位数阈值'!$D$14="","",IFS(S89&lt;='分位数阈值'!$G$14,5,S89&lt;='分位数阈值'!$F$14,4,S89&lt;='分位数阈值'!$E$14,3,S89&lt;='分位数阈值'!$D$14,2,TRUE,1)))</f>
        <v/>
      </c>
      <c r="AO89" s="23">
        <f>IF(T89="","",IF('分位数阈值'!$D$15="","",IFS(T89&lt;='分位数阈值'!$G$15,5,T89&lt;='分位数阈值'!$F$15,4,T89&lt;='分位数阈值'!$E$15,3,T89&lt;='分位数阈值'!$D$15,2,TRUE,1)))</f>
        <v/>
      </c>
      <c r="AP89" s="23">
        <f>IF(U89="","",IF(U89=1,5,1))</f>
        <v/>
      </c>
      <c r="AQ89" s="23">
        <f>IF(V89="","",V89)</f>
        <v/>
      </c>
      <c r="AR89" s="23">
        <f>IF(W89="","",IF('分位数阈值'!$D$16="","",IFS(W89&lt;='分位数阈值'!$G$16,5,W89&lt;='分位数阈值'!$F$16,4,W89&lt;='分位数阈值'!$E$16,3,W89&lt;='分位数阈值'!$D$16,2,TRUE,1)))</f>
        <v/>
      </c>
      <c r="AS89" s="23">
        <f>IF(X89="","",X89)</f>
        <v/>
      </c>
      <c r="AT89" s="23">
        <f>IF(Y89="","",Y89)</f>
        <v/>
      </c>
      <c r="AU89" s="10">
        <f>IF($A89="","",IF(OR(Z89=1,AR89=1,AJ89=1),"淘汰","通过"))</f>
        <v/>
      </c>
      <c r="AV89" s="10">
        <f>IF($A89="","",IF(OR(AA89=1,AR89=1,AND(AK89=1,AI89=1),AO89=1),"淘汰","通过"))</f>
        <v/>
      </c>
      <c r="AW89" s="24">
        <f>IF($A89="","",IF(AU89="淘汰","",ROUND(SUMPRODUCT(Z89:AT89,Z$2:AT$2)/5,1)))</f>
        <v/>
      </c>
      <c r="AX89" s="24">
        <f>IF($A89="","",IF(AV89="淘汰","",ROUND(SUMPRODUCT(Z89:AT89,Z$3:AT$3)/5,1)))</f>
        <v/>
      </c>
    </row>
    <row r="90" ht="15.75" customHeight="1" s="25">
      <c r="A90" s="22" t="n"/>
      <c r="B90" s="20" t="n"/>
      <c r="C90" s="22" t="n"/>
      <c r="D90" s="22" t="n"/>
      <c r="E90" s="22" t="n"/>
      <c r="F90" s="22" t="n"/>
      <c r="G90" s="21" t="n"/>
      <c r="H90" s="21" t="n"/>
      <c r="I90" s="21" t="n"/>
      <c r="J90" s="21" t="n"/>
      <c r="K90" s="21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3">
        <f>IF(E90="","",IF('分位数阈值'!$D$2="","",IFS(E90&gt;='分位数阈值'!$D$2,5,E90&gt;='分位数阈值'!$E$2,4,E90&gt;='分位数阈值'!$F$2,3,E90&gt;='分位数阈值'!$G$2,2,TRUE,1)))</f>
        <v/>
      </c>
      <c r="AA90" s="23">
        <f>IF(F90="","",IF('分位数阈值'!$D$3="","",IFS(F90&gt;='分位数阈值'!$D$3,5,F90&gt;='分位数阈值'!$E$3,4,F90&gt;='分位数阈值'!$F$3,3,F90&gt;='分位数阈值'!$G$3,2,TRUE,1)))</f>
        <v/>
      </c>
      <c r="AB90" s="23">
        <f>IF(G90="","",IF('分位数阈值'!$D$4="","",IFS(G90&gt;='分位数阈值'!$D$4,5,G90&gt;='分位数阈值'!$E$4,4,G90&gt;='分位数阈值'!$F$4,3,G90&gt;='分位数阈值'!$G$4,2,TRUE,1)))</f>
        <v/>
      </c>
      <c r="AC90" s="23">
        <f>IF(H90="","",IF('分位数阈值'!$D$5="","",IFS(H90&gt;='分位数阈值'!$D$5,5,H90&gt;='分位数阈值'!$E$5,4,H90&gt;='分位数阈值'!$F$5,3,H90&gt;='分位数阈值'!$G$5,2,TRUE,1)))</f>
        <v/>
      </c>
      <c r="AD90" s="23">
        <f>IF(I90="","",IF('分位数阈值'!$D$6="","",IFS(I90&gt;='分位数阈值'!$D$6,5,I90&gt;='分位数阈值'!$E$6,4,I90&gt;='分位数阈值'!$F$6,3,I90&gt;='分位数阈值'!$G$6,2,TRUE,1)))</f>
        <v/>
      </c>
      <c r="AE90" s="23">
        <f>IF(J90="","",IF('分位数阈值'!$D$7="","",IFS(J90&gt;='分位数阈值'!$D$7,5,J90&gt;='分位数阈值'!$E$7,4,J90&gt;='分位数阈值'!$F$7,3,J90&gt;='分位数阈值'!$G$7,2,TRUE,1)))</f>
        <v/>
      </c>
      <c r="AF90" s="23">
        <f>IF(K90="","",IF('分位数阈值'!$D$8="","",IFS(K90&gt;='分位数阈值'!$D$8,5,K90&gt;='分位数阈值'!$E$8,4,K90&gt;='分位数阈值'!$F$8,3,K90&gt;='分位数阈值'!$G$8,2,TRUE,1)))</f>
        <v/>
      </c>
      <c r="AG90" s="23">
        <f>IF(L90="","",IF('分位数阈值'!$D$9="","",IFS(L90&gt;='分位数阈值'!$D$9,5,L90&gt;='分位数阈值'!$E$9,4,L90&gt;='分位数阈值'!$F$9,3,L90&gt;='分位数阈值'!$G$9,2,TRUE,1)))</f>
        <v/>
      </c>
      <c r="AH90" s="23">
        <f>IF(M90="","",IF('分位数阈值'!$D$10="","",IFS(M90&lt;='分位数阈值'!$G$10,5,M90&lt;='分位数阈值'!$F$10,4,M90&lt;='分位数阈值'!$E$10,3,M90&lt;='分位数阈值'!$D$10,2,TRUE,1)))</f>
        <v/>
      </c>
      <c r="AI90" s="23">
        <f>IF(N90="","",IF('分位数阈值'!$D$11="","",IFS(N90&lt;='分位数阈值'!$G$11,5,N90&lt;='分位数阈值'!$F$11,4,N90&lt;='分位数阈值'!$E$11,3,N90&lt;='分位数阈值'!$D$11,2,TRUE,1)))</f>
        <v/>
      </c>
      <c r="AJ90" s="23">
        <f>IF(P90="","",IF(P90=1,1,5))</f>
        <v/>
      </c>
      <c r="AK90" s="23">
        <f>IF(Q90="","",IF(Q90=1,1,5))</f>
        <v/>
      </c>
      <c r="AL90" s="23">
        <f>IF(O90="","",IF('分位数阈值'!$D$12="","",IFS(O90&gt;='分位数阈值'!$D$12,5,O90&gt;='分位数阈值'!$E$12,4,O90&gt;='分位数阈值'!$F$12,3,O90&gt;='分位数阈值'!$G$12,2,TRUE,1)))</f>
        <v/>
      </c>
      <c r="AM90" s="23">
        <f>IF(R90="","",IF('分位数阈值'!$D$13="","",IFS(R90&lt;='分位数阈值'!$G$13,5,R90&lt;='分位数阈值'!$F$13,4,R90&lt;='分位数阈值'!$E$13,3,R90&lt;='分位数阈值'!$D$13,2,TRUE,1)))</f>
        <v/>
      </c>
      <c r="AN90" s="23">
        <f>IF(S90="","",IF('分位数阈值'!$D$14="","",IFS(S90&lt;='分位数阈值'!$G$14,5,S90&lt;='分位数阈值'!$F$14,4,S90&lt;='分位数阈值'!$E$14,3,S90&lt;='分位数阈值'!$D$14,2,TRUE,1)))</f>
        <v/>
      </c>
      <c r="AO90" s="23">
        <f>IF(T90="","",IF('分位数阈值'!$D$15="","",IFS(T90&lt;='分位数阈值'!$G$15,5,T90&lt;='分位数阈值'!$F$15,4,T90&lt;='分位数阈值'!$E$15,3,T90&lt;='分位数阈值'!$D$15,2,TRUE,1)))</f>
        <v/>
      </c>
      <c r="AP90" s="23">
        <f>IF(U90="","",IF(U90=1,5,1))</f>
        <v/>
      </c>
      <c r="AQ90" s="23">
        <f>IF(V90="","",V90)</f>
        <v/>
      </c>
      <c r="AR90" s="23">
        <f>IF(W90="","",IF('分位数阈值'!$D$16="","",IFS(W90&lt;='分位数阈值'!$G$16,5,W90&lt;='分位数阈值'!$F$16,4,W90&lt;='分位数阈值'!$E$16,3,W90&lt;='分位数阈值'!$D$16,2,TRUE,1)))</f>
        <v/>
      </c>
      <c r="AS90" s="23">
        <f>IF(X90="","",X90)</f>
        <v/>
      </c>
      <c r="AT90" s="23">
        <f>IF(Y90="","",Y90)</f>
        <v/>
      </c>
      <c r="AU90" s="10">
        <f>IF($A90="","",IF(OR(Z90=1,AR90=1,AJ90=1),"淘汰","通过"))</f>
        <v/>
      </c>
      <c r="AV90" s="10">
        <f>IF($A90="","",IF(OR(AA90=1,AR90=1,AND(AK90=1,AI90=1),AO90=1),"淘汰","通过"))</f>
        <v/>
      </c>
      <c r="AW90" s="24">
        <f>IF($A90="","",IF(AU90="淘汰","",ROUND(SUMPRODUCT(Z90:AT90,Z$2:AT$2)/5,1)))</f>
        <v/>
      </c>
      <c r="AX90" s="24">
        <f>IF($A90="","",IF(AV90="淘汰","",ROUND(SUMPRODUCT(Z90:AT90,Z$3:AT$3)/5,1)))</f>
        <v/>
      </c>
    </row>
    <row r="91" ht="15.75" customHeight="1" s="25">
      <c r="A91" s="22" t="n"/>
      <c r="B91" s="20" t="n"/>
      <c r="C91" s="22" t="n"/>
      <c r="D91" s="22" t="n"/>
      <c r="E91" s="22" t="n"/>
      <c r="F91" s="22" t="n"/>
      <c r="G91" s="21" t="n"/>
      <c r="H91" s="21" t="n"/>
      <c r="I91" s="21" t="n"/>
      <c r="J91" s="21" t="n"/>
      <c r="K91" s="21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3">
        <f>IF(E91="","",IF('分位数阈值'!$D$2="","",IFS(E91&gt;='分位数阈值'!$D$2,5,E91&gt;='分位数阈值'!$E$2,4,E91&gt;='分位数阈值'!$F$2,3,E91&gt;='分位数阈值'!$G$2,2,TRUE,1)))</f>
        <v/>
      </c>
      <c r="AA91" s="23">
        <f>IF(F91="","",IF('分位数阈值'!$D$3="","",IFS(F91&gt;='分位数阈值'!$D$3,5,F91&gt;='分位数阈值'!$E$3,4,F91&gt;='分位数阈值'!$F$3,3,F91&gt;='分位数阈值'!$G$3,2,TRUE,1)))</f>
        <v/>
      </c>
      <c r="AB91" s="23">
        <f>IF(G91="","",IF('分位数阈值'!$D$4="","",IFS(G91&gt;='分位数阈值'!$D$4,5,G91&gt;='分位数阈值'!$E$4,4,G91&gt;='分位数阈值'!$F$4,3,G91&gt;='分位数阈值'!$G$4,2,TRUE,1)))</f>
        <v/>
      </c>
      <c r="AC91" s="23">
        <f>IF(H91="","",IF('分位数阈值'!$D$5="","",IFS(H91&gt;='分位数阈值'!$D$5,5,H91&gt;='分位数阈值'!$E$5,4,H91&gt;='分位数阈值'!$F$5,3,H91&gt;='分位数阈值'!$G$5,2,TRUE,1)))</f>
        <v/>
      </c>
      <c r="AD91" s="23">
        <f>IF(I91="","",IF('分位数阈值'!$D$6="","",IFS(I91&gt;='分位数阈值'!$D$6,5,I91&gt;='分位数阈值'!$E$6,4,I91&gt;='分位数阈值'!$F$6,3,I91&gt;='分位数阈值'!$G$6,2,TRUE,1)))</f>
        <v/>
      </c>
      <c r="AE91" s="23">
        <f>IF(J91="","",IF('分位数阈值'!$D$7="","",IFS(J91&gt;='分位数阈值'!$D$7,5,J91&gt;='分位数阈值'!$E$7,4,J91&gt;='分位数阈值'!$F$7,3,J91&gt;='分位数阈值'!$G$7,2,TRUE,1)))</f>
        <v/>
      </c>
      <c r="AF91" s="23">
        <f>IF(K91="","",IF('分位数阈值'!$D$8="","",IFS(K91&gt;='分位数阈值'!$D$8,5,K91&gt;='分位数阈值'!$E$8,4,K91&gt;='分位数阈值'!$F$8,3,K91&gt;='分位数阈值'!$G$8,2,TRUE,1)))</f>
        <v/>
      </c>
      <c r="AG91" s="23">
        <f>IF(L91="","",IF('分位数阈值'!$D$9="","",IFS(L91&gt;='分位数阈值'!$D$9,5,L91&gt;='分位数阈值'!$E$9,4,L91&gt;='分位数阈值'!$F$9,3,L91&gt;='分位数阈值'!$G$9,2,TRUE,1)))</f>
        <v/>
      </c>
      <c r="AH91" s="23">
        <f>IF(M91="","",IF('分位数阈值'!$D$10="","",IFS(M91&lt;='分位数阈值'!$G$10,5,M91&lt;='分位数阈值'!$F$10,4,M91&lt;='分位数阈值'!$E$10,3,M91&lt;='分位数阈值'!$D$10,2,TRUE,1)))</f>
        <v/>
      </c>
      <c r="AI91" s="23">
        <f>IF(N91="","",IF('分位数阈值'!$D$11="","",IFS(N91&lt;='分位数阈值'!$G$11,5,N91&lt;='分位数阈值'!$F$11,4,N91&lt;='分位数阈值'!$E$11,3,N91&lt;='分位数阈值'!$D$11,2,TRUE,1)))</f>
        <v/>
      </c>
      <c r="AJ91" s="23">
        <f>IF(P91="","",IF(P91=1,1,5))</f>
        <v/>
      </c>
      <c r="AK91" s="23">
        <f>IF(Q91="","",IF(Q91=1,1,5))</f>
        <v/>
      </c>
      <c r="AL91" s="23">
        <f>IF(O91="","",IF('分位数阈值'!$D$12="","",IFS(O91&gt;='分位数阈值'!$D$12,5,O91&gt;='分位数阈值'!$E$12,4,O91&gt;='分位数阈值'!$F$12,3,O91&gt;='分位数阈值'!$G$12,2,TRUE,1)))</f>
        <v/>
      </c>
      <c r="AM91" s="23">
        <f>IF(R91="","",IF('分位数阈值'!$D$13="","",IFS(R91&lt;='分位数阈值'!$G$13,5,R91&lt;='分位数阈值'!$F$13,4,R91&lt;='分位数阈值'!$E$13,3,R91&lt;='分位数阈值'!$D$13,2,TRUE,1)))</f>
        <v/>
      </c>
      <c r="AN91" s="23">
        <f>IF(S91="","",IF('分位数阈值'!$D$14="","",IFS(S91&lt;='分位数阈值'!$G$14,5,S91&lt;='分位数阈值'!$F$14,4,S91&lt;='分位数阈值'!$E$14,3,S91&lt;='分位数阈值'!$D$14,2,TRUE,1)))</f>
        <v/>
      </c>
      <c r="AO91" s="23">
        <f>IF(T91="","",IF('分位数阈值'!$D$15="","",IFS(T91&lt;='分位数阈值'!$G$15,5,T91&lt;='分位数阈值'!$F$15,4,T91&lt;='分位数阈值'!$E$15,3,T91&lt;='分位数阈值'!$D$15,2,TRUE,1)))</f>
        <v/>
      </c>
      <c r="AP91" s="23">
        <f>IF(U91="","",IF(U91=1,5,1))</f>
        <v/>
      </c>
      <c r="AQ91" s="23">
        <f>IF(V91="","",V91)</f>
        <v/>
      </c>
      <c r="AR91" s="23">
        <f>IF(W91="","",IF('分位数阈值'!$D$16="","",IFS(W91&lt;='分位数阈值'!$G$16,5,W91&lt;='分位数阈值'!$F$16,4,W91&lt;='分位数阈值'!$E$16,3,W91&lt;='分位数阈值'!$D$16,2,TRUE,1)))</f>
        <v/>
      </c>
      <c r="AS91" s="23">
        <f>IF(X91="","",X91)</f>
        <v/>
      </c>
      <c r="AT91" s="23">
        <f>IF(Y91="","",Y91)</f>
        <v/>
      </c>
      <c r="AU91" s="10">
        <f>IF($A91="","",IF(OR(Z91=1,AR91=1,AJ91=1),"淘汰","通过"))</f>
        <v/>
      </c>
      <c r="AV91" s="10">
        <f>IF($A91="","",IF(OR(AA91=1,AR91=1,AND(AK91=1,AI91=1),AO91=1),"淘汰","通过"))</f>
        <v/>
      </c>
      <c r="AW91" s="24">
        <f>IF($A91="","",IF(AU91="淘汰","",ROUND(SUMPRODUCT(Z91:AT91,Z$2:AT$2)/5,1)))</f>
        <v/>
      </c>
      <c r="AX91" s="24">
        <f>IF($A91="","",IF(AV91="淘汰","",ROUND(SUMPRODUCT(Z91:AT91,Z$3:AT$3)/5,1)))</f>
        <v/>
      </c>
    </row>
    <row r="92" ht="15.75" customHeight="1" s="25">
      <c r="A92" s="22" t="n"/>
      <c r="B92" s="20" t="n"/>
      <c r="C92" s="22" t="n"/>
      <c r="D92" s="22" t="n"/>
      <c r="E92" s="22" t="n"/>
      <c r="F92" s="22" t="n"/>
      <c r="G92" s="21" t="n"/>
      <c r="H92" s="21" t="n"/>
      <c r="I92" s="21" t="n"/>
      <c r="J92" s="21" t="n"/>
      <c r="K92" s="21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3">
        <f>IF(E92="","",IF('分位数阈值'!$D$2="","",IFS(E92&gt;='分位数阈值'!$D$2,5,E92&gt;='分位数阈值'!$E$2,4,E92&gt;='分位数阈值'!$F$2,3,E92&gt;='分位数阈值'!$G$2,2,TRUE,1)))</f>
        <v/>
      </c>
      <c r="AA92" s="23">
        <f>IF(F92="","",IF('分位数阈值'!$D$3="","",IFS(F92&gt;='分位数阈值'!$D$3,5,F92&gt;='分位数阈值'!$E$3,4,F92&gt;='分位数阈值'!$F$3,3,F92&gt;='分位数阈值'!$G$3,2,TRUE,1)))</f>
        <v/>
      </c>
      <c r="AB92" s="23">
        <f>IF(G92="","",IF('分位数阈值'!$D$4="","",IFS(G92&gt;='分位数阈值'!$D$4,5,G92&gt;='分位数阈值'!$E$4,4,G92&gt;='分位数阈值'!$F$4,3,G92&gt;='分位数阈值'!$G$4,2,TRUE,1)))</f>
        <v/>
      </c>
      <c r="AC92" s="23">
        <f>IF(H92="","",IF('分位数阈值'!$D$5="","",IFS(H92&gt;='分位数阈值'!$D$5,5,H92&gt;='分位数阈值'!$E$5,4,H92&gt;='分位数阈值'!$F$5,3,H92&gt;='分位数阈值'!$G$5,2,TRUE,1)))</f>
        <v/>
      </c>
      <c r="AD92" s="23">
        <f>IF(I92="","",IF('分位数阈值'!$D$6="","",IFS(I92&gt;='分位数阈值'!$D$6,5,I92&gt;='分位数阈值'!$E$6,4,I92&gt;='分位数阈值'!$F$6,3,I92&gt;='分位数阈值'!$G$6,2,TRUE,1)))</f>
        <v/>
      </c>
      <c r="AE92" s="23">
        <f>IF(J92="","",IF('分位数阈值'!$D$7="","",IFS(J92&gt;='分位数阈值'!$D$7,5,J92&gt;='分位数阈值'!$E$7,4,J92&gt;='分位数阈值'!$F$7,3,J92&gt;='分位数阈值'!$G$7,2,TRUE,1)))</f>
        <v/>
      </c>
      <c r="AF92" s="23">
        <f>IF(K92="","",IF('分位数阈值'!$D$8="","",IFS(K92&gt;='分位数阈值'!$D$8,5,K92&gt;='分位数阈值'!$E$8,4,K92&gt;='分位数阈值'!$F$8,3,K92&gt;='分位数阈值'!$G$8,2,TRUE,1)))</f>
        <v/>
      </c>
      <c r="AG92" s="23">
        <f>IF(L92="","",IF('分位数阈值'!$D$9="","",IFS(L92&gt;='分位数阈值'!$D$9,5,L92&gt;='分位数阈值'!$E$9,4,L92&gt;='分位数阈值'!$F$9,3,L92&gt;='分位数阈值'!$G$9,2,TRUE,1)))</f>
        <v/>
      </c>
      <c r="AH92" s="23">
        <f>IF(M92="","",IF('分位数阈值'!$D$10="","",IFS(M92&lt;='分位数阈值'!$G$10,5,M92&lt;='分位数阈值'!$F$10,4,M92&lt;='分位数阈值'!$E$10,3,M92&lt;='分位数阈值'!$D$10,2,TRUE,1)))</f>
        <v/>
      </c>
      <c r="AI92" s="23">
        <f>IF(N92="","",IF('分位数阈值'!$D$11="","",IFS(N92&lt;='分位数阈值'!$G$11,5,N92&lt;='分位数阈值'!$F$11,4,N92&lt;='分位数阈值'!$E$11,3,N92&lt;='分位数阈值'!$D$11,2,TRUE,1)))</f>
        <v/>
      </c>
      <c r="AJ92" s="23">
        <f>IF(P92="","",IF(P92=1,1,5))</f>
        <v/>
      </c>
      <c r="AK92" s="23">
        <f>IF(Q92="","",IF(Q92=1,1,5))</f>
        <v/>
      </c>
      <c r="AL92" s="23">
        <f>IF(O92="","",IF('分位数阈值'!$D$12="","",IFS(O92&gt;='分位数阈值'!$D$12,5,O92&gt;='分位数阈值'!$E$12,4,O92&gt;='分位数阈值'!$F$12,3,O92&gt;='分位数阈值'!$G$12,2,TRUE,1)))</f>
        <v/>
      </c>
      <c r="AM92" s="23">
        <f>IF(R92="","",IF('分位数阈值'!$D$13="","",IFS(R92&lt;='分位数阈值'!$G$13,5,R92&lt;='分位数阈值'!$F$13,4,R92&lt;='分位数阈值'!$E$13,3,R92&lt;='分位数阈值'!$D$13,2,TRUE,1)))</f>
        <v/>
      </c>
      <c r="AN92" s="23">
        <f>IF(S92="","",IF('分位数阈值'!$D$14="","",IFS(S92&lt;='分位数阈值'!$G$14,5,S92&lt;='分位数阈值'!$F$14,4,S92&lt;='分位数阈值'!$E$14,3,S92&lt;='分位数阈值'!$D$14,2,TRUE,1)))</f>
        <v/>
      </c>
      <c r="AO92" s="23">
        <f>IF(T92="","",IF('分位数阈值'!$D$15="","",IFS(T92&lt;='分位数阈值'!$G$15,5,T92&lt;='分位数阈值'!$F$15,4,T92&lt;='分位数阈值'!$E$15,3,T92&lt;='分位数阈值'!$D$15,2,TRUE,1)))</f>
        <v/>
      </c>
      <c r="AP92" s="23">
        <f>IF(U92="","",IF(U92=1,5,1))</f>
        <v/>
      </c>
      <c r="AQ92" s="23">
        <f>IF(V92="","",V92)</f>
        <v/>
      </c>
      <c r="AR92" s="23">
        <f>IF(W92="","",IF('分位数阈值'!$D$16="","",IFS(W92&lt;='分位数阈值'!$G$16,5,W92&lt;='分位数阈值'!$F$16,4,W92&lt;='分位数阈值'!$E$16,3,W92&lt;='分位数阈值'!$D$16,2,TRUE,1)))</f>
        <v/>
      </c>
      <c r="AS92" s="23">
        <f>IF(X92="","",X92)</f>
        <v/>
      </c>
      <c r="AT92" s="23">
        <f>IF(Y92="","",Y92)</f>
        <v/>
      </c>
      <c r="AU92" s="10">
        <f>IF($A92="","",IF(OR(Z92=1,AR92=1,AJ92=1),"淘汰","通过"))</f>
        <v/>
      </c>
      <c r="AV92" s="10">
        <f>IF($A92="","",IF(OR(AA92=1,AR92=1,AND(AK92=1,AI92=1),AO92=1),"淘汰","通过"))</f>
        <v/>
      </c>
      <c r="AW92" s="24">
        <f>IF($A92="","",IF(AU92="淘汰","",ROUND(SUMPRODUCT(Z92:AT92,Z$2:AT$2)/5,1)))</f>
        <v/>
      </c>
      <c r="AX92" s="24">
        <f>IF($A92="","",IF(AV92="淘汰","",ROUND(SUMPRODUCT(Z92:AT92,Z$3:AT$3)/5,1)))</f>
        <v/>
      </c>
    </row>
    <row r="93" ht="15.75" customHeight="1" s="25">
      <c r="A93" s="22" t="n"/>
      <c r="B93" s="20" t="n"/>
      <c r="C93" s="22" t="n"/>
      <c r="D93" s="22" t="n"/>
      <c r="E93" s="22" t="n"/>
      <c r="F93" s="22" t="n"/>
      <c r="G93" s="21" t="n"/>
      <c r="H93" s="21" t="n"/>
      <c r="I93" s="21" t="n"/>
      <c r="J93" s="21" t="n"/>
      <c r="K93" s="21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3">
        <f>IF(E93="","",IF('分位数阈值'!$D$2="","",IFS(E93&gt;='分位数阈值'!$D$2,5,E93&gt;='分位数阈值'!$E$2,4,E93&gt;='分位数阈值'!$F$2,3,E93&gt;='分位数阈值'!$G$2,2,TRUE,1)))</f>
        <v/>
      </c>
      <c r="AA93" s="23">
        <f>IF(F93="","",IF('分位数阈值'!$D$3="","",IFS(F93&gt;='分位数阈值'!$D$3,5,F93&gt;='分位数阈值'!$E$3,4,F93&gt;='分位数阈值'!$F$3,3,F93&gt;='分位数阈值'!$G$3,2,TRUE,1)))</f>
        <v/>
      </c>
      <c r="AB93" s="23">
        <f>IF(G93="","",IF('分位数阈值'!$D$4="","",IFS(G93&gt;='分位数阈值'!$D$4,5,G93&gt;='分位数阈值'!$E$4,4,G93&gt;='分位数阈值'!$F$4,3,G93&gt;='分位数阈值'!$G$4,2,TRUE,1)))</f>
        <v/>
      </c>
      <c r="AC93" s="23">
        <f>IF(H93="","",IF('分位数阈值'!$D$5="","",IFS(H93&gt;='分位数阈值'!$D$5,5,H93&gt;='分位数阈值'!$E$5,4,H93&gt;='分位数阈值'!$F$5,3,H93&gt;='分位数阈值'!$G$5,2,TRUE,1)))</f>
        <v/>
      </c>
      <c r="AD93" s="23">
        <f>IF(I93="","",IF('分位数阈值'!$D$6="","",IFS(I93&gt;='分位数阈值'!$D$6,5,I93&gt;='分位数阈值'!$E$6,4,I93&gt;='分位数阈值'!$F$6,3,I93&gt;='分位数阈值'!$G$6,2,TRUE,1)))</f>
        <v/>
      </c>
      <c r="AE93" s="23">
        <f>IF(J93="","",IF('分位数阈值'!$D$7="","",IFS(J93&gt;='分位数阈值'!$D$7,5,J93&gt;='分位数阈值'!$E$7,4,J93&gt;='分位数阈值'!$F$7,3,J93&gt;='分位数阈值'!$G$7,2,TRUE,1)))</f>
        <v/>
      </c>
      <c r="AF93" s="23">
        <f>IF(K93="","",IF('分位数阈值'!$D$8="","",IFS(K93&gt;='分位数阈值'!$D$8,5,K93&gt;='分位数阈值'!$E$8,4,K93&gt;='分位数阈值'!$F$8,3,K93&gt;='分位数阈值'!$G$8,2,TRUE,1)))</f>
        <v/>
      </c>
      <c r="AG93" s="23">
        <f>IF(L93="","",IF('分位数阈值'!$D$9="","",IFS(L93&gt;='分位数阈值'!$D$9,5,L93&gt;='分位数阈值'!$E$9,4,L93&gt;='分位数阈值'!$F$9,3,L93&gt;='分位数阈值'!$G$9,2,TRUE,1)))</f>
        <v/>
      </c>
      <c r="AH93" s="23">
        <f>IF(M93="","",IF('分位数阈值'!$D$10="","",IFS(M93&lt;='分位数阈值'!$G$10,5,M93&lt;='分位数阈值'!$F$10,4,M93&lt;='分位数阈值'!$E$10,3,M93&lt;='分位数阈值'!$D$10,2,TRUE,1)))</f>
        <v/>
      </c>
      <c r="AI93" s="23">
        <f>IF(N93="","",IF('分位数阈值'!$D$11="","",IFS(N93&lt;='分位数阈值'!$G$11,5,N93&lt;='分位数阈值'!$F$11,4,N93&lt;='分位数阈值'!$E$11,3,N93&lt;='分位数阈值'!$D$11,2,TRUE,1)))</f>
        <v/>
      </c>
      <c r="AJ93" s="23">
        <f>IF(P93="","",IF(P93=1,1,5))</f>
        <v/>
      </c>
      <c r="AK93" s="23">
        <f>IF(Q93="","",IF(Q93=1,1,5))</f>
        <v/>
      </c>
      <c r="AL93" s="23">
        <f>IF(O93="","",IF('分位数阈值'!$D$12="","",IFS(O93&gt;='分位数阈值'!$D$12,5,O93&gt;='分位数阈值'!$E$12,4,O93&gt;='分位数阈值'!$F$12,3,O93&gt;='分位数阈值'!$G$12,2,TRUE,1)))</f>
        <v/>
      </c>
      <c r="AM93" s="23">
        <f>IF(R93="","",IF('分位数阈值'!$D$13="","",IFS(R93&lt;='分位数阈值'!$G$13,5,R93&lt;='分位数阈值'!$F$13,4,R93&lt;='分位数阈值'!$E$13,3,R93&lt;='分位数阈值'!$D$13,2,TRUE,1)))</f>
        <v/>
      </c>
      <c r="AN93" s="23">
        <f>IF(S93="","",IF('分位数阈值'!$D$14="","",IFS(S93&lt;='分位数阈值'!$G$14,5,S93&lt;='分位数阈值'!$F$14,4,S93&lt;='分位数阈值'!$E$14,3,S93&lt;='分位数阈值'!$D$14,2,TRUE,1)))</f>
        <v/>
      </c>
      <c r="AO93" s="23">
        <f>IF(T93="","",IF('分位数阈值'!$D$15="","",IFS(T93&lt;='分位数阈值'!$G$15,5,T93&lt;='分位数阈值'!$F$15,4,T93&lt;='分位数阈值'!$E$15,3,T93&lt;='分位数阈值'!$D$15,2,TRUE,1)))</f>
        <v/>
      </c>
      <c r="AP93" s="23">
        <f>IF(U93="","",IF(U93=1,5,1))</f>
        <v/>
      </c>
      <c r="AQ93" s="23">
        <f>IF(V93="","",V93)</f>
        <v/>
      </c>
      <c r="AR93" s="23">
        <f>IF(W93="","",IF('分位数阈值'!$D$16="","",IFS(W93&lt;='分位数阈值'!$G$16,5,W93&lt;='分位数阈值'!$F$16,4,W93&lt;='分位数阈值'!$E$16,3,W93&lt;='分位数阈值'!$D$16,2,TRUE,1)))</f>
        <v/>
      </c>
      <c r="AS93" s="23">
        <f>IF(X93="","",X93)</f>
        <v/>
      </c>
      <c r="AT93" s="23">
        <f>IF(Y93="","",Y93)</f>
        <v/>
      </c>
      <c r="AU93" s="10">
        <f>IF($A93="","",IF(OR(Z93=1,AR93=1,AJ93=1),"淘汰","通过"))</f>
        <v/>
      </c>
      <c r="AV93" s="10">
        <f>IF($A93="","",IF(OR(AA93=1,AR93=1,AND(AK93=1,AI93=1),AO93=1),"淘汰","通过"))</f>
        <v/>
      </c>
      <c r="AW93" s="24">
        <f>IF($A93="","",IF(AU93="淘汰","",ROUND(SUMPRODUCT(Z93:AT93,Z$2:AT$2)/5,1)))</f>
        <v/>
      </c>
      <c r="AX93" s="24">
        <f>IF($A93="","",IF(AV93="淘汰","",ROUND(SUMPRODUCT(Z93:AT93,Z$3:AT$3)/5,1)))</f>
        <v/>
      </c>
    </row>
    <row r="94" ht="15.75" customHeight="1" s="25">
      <c r="A94" s="22" t="n"/>
      <c r="B94" s="20" t="n"/>
      <c r="C94" s="22" t="n"/>
      <c r="D94" s="22" t="n"/>
      <c r="E94" s="22" t="n"/>
      <c r="F94" s="22" t="n"/>
      <c r="G94" s="21" t="n"/>
      <c r="H94" s="21" t="n"/>
      <c r="I94" s="21" t="n"/>
      <c r="J94" s="21" t="n"/>
      <c r="K94" s="21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3">
        <f>IF(E94="","",IF('分位数阈值'!$D$2="","",IFS(E94&gt;='分位数阈值'!$D$2,5,E94&gt;='分位数阈值'!$E$2,4,E94&gt;='分位数阈值'!$F$2,3,E94&gt;='分位数阈值'!$G$2,2,TRUE,1)))</f>
        <v/>
      </c>
      <c r="AA94" s="23">
        <f>IF(F94="","",IF('分位数阈值'!$D$3="","",IFS(F94&gt;='分位数阈值'!$D$3,5,F94&gt;='分位数阈值'!$E$3,4,F94&gt;='分位数阈值'!$F$3,3,F94&gt;='分位数阈值'!$G$3,2,TRUE,1)))</f>
        <v/>
      </c>
      <c r="AB94" s="23">
        <f>IF(G94="","",IF('分位数阈值'!$D$4="","",IFS(G94&gt;='分位数阈值'!$D$4,5,G94&gt;='分位数阈值'!$E$4,4,G94&gt;='分位数阈值'!$F$4,3,G94&gt;='分位数阈值'!$G$4,2,TRUE,1)))</f>
        <v/>
      </c>
      <c r="AC94" s="23">
        <f>IF(H94="","",IF('分位数阈值'!$D$5="","",IFS(H94&gt;='分位数阈值'!$D$5,5,H94&gt;='分位数阈值'!$E$5,4,H94&gt;='分位数阈值'!$F$5,3,H94&gt;='分位数阈值'!$G$5,2,TRUE,1)))</f>
        <v/>
      </c>
      <c r="AD94" s="23">
        <f>IF(I94="","",IF('分位数阈值'!$D$6="","",IFS(I94&gt;='分位数阈值'!$D$6,5,I94&gt;='分位数阈值'!$E$6,4,I94&gt;='分位数阈值'!$F$6,3,I94&gt;='分位数阈值'!$G$6,2,TRUE,1)))</f>
        <v/>
      </c>
      <c r="AE94" s="23">
        <f>IF(J94="","",IF('分位数阈值'!$D$7="","",IFS(J94&gt;='分位数阈值'!$D$7,5,J94&gt;='分位数阈值'!$E$7,4,J94&gt;='分位数阈值'!$F$7,3,J94&gt;='分位数阈值'!$G$7,2,TRUE,1)))</f>
        <v/>
      </c>
      <c r="AF94" s="23">
        <f>IF(K94="","",IF('分位数阈值'!$D$8="","",IFS(K94&gt;='分位数阈值'!$D$8,5,K94&gt;='分位数阈值'!$E$8,4,K94&gt;='分位数阈值'!$F$8,3,K94&gt;='分位数阈值'!$G$8,2,TRUE,1)))</f>
        <v/>
      </c>
      <c r="AG94" s="23">
        <f>IF(L94="","",IF('分位数阈值'!$D$9="","",IFS(L94&gt;='分位数阈值'!$D$9,5,L94&gt;='分位数阈值'!$E$9,4,L94&gt;='分位数阈值'!$F$9,3,L94&gt;='分位数阈值'!$G$9,2,TRUE,1)))</f>
        <v/>
      </c>
      <c r="AH94" s="23">
        <f>IF(M94="","",IF('分位数阈值'!$D$10="","",IFS(M94&lt;='分位数阈值'!$G$10,5,M94&lt;='分位数阈值'!$F$10,4,M94&lt;='分位数阈值'!$E$10,3,M94&lt;='分位数阈值'!$D$10,2,TRUE,1)))</f>
        <v/>
      </c>
      <c r="AI94" s="23">
        <f>IF(N94="","",IF('分位数阈值'!$D$11="","",IFS(N94&lt;='分位数阈值'!$G$11,5,N94&lt;='分位数阈值'!$F$11,4,N94&lt;='分位数阈值'!$E$11,3,N94&lt;='分位数阈值'!$D$11,2,TRUE,1)))</f>
        <v/>
      </c>
      <c r="AJ94" s="23">
        <f>IF(P94="","",IF(P94=1,1,5))</f>
        <v/>
      </c>
      <c r="AK94" s="23">
        <f>IF(Q94="","",IF(Q94=1,1,5))</f>
        <v/>
      </c>
      <c r="AL94" s="23">
        <f>IF(O94="","",IF('分位数阈值'!$D$12="","",IFS(O94&gt;='分位数阈值'!$D$12,5,O94&gt;='分位数阈值'!$E$12,4,O94&gt;='分位数阈值'!$F$12,3,O94&gt;='分位数阈值'!$G$12,2,TRUE,1)))</f>
        <v/>
      </c>
      <c r="AM94" s="23">
        <f>IF(R94="","",IF('分位数阈值'!$D$13="","",IFS(R94&lt;='分位数阈值'!$G$13,5,R94&lt;='分位数阈值'!$F$13,4,R94&lt;='分位数阈值'!$E$13,3,R94&lt;='分位数阈值'!$D$13,2,TRUE,1)))</f>
        <v/>
      </c>
      <c r="AN94" s="23">
        <f>IF(S94="","",IF('分位数阈值'!$D$14="","",IFS(S94&lt;='分位数阈值'!$G$14,5,S94&lt;='分位数阈值'!$F$14,4,S94&lt;='分位数阈值'!$E$14,3,S94&lt;='分位数阈值'!$D$14,2,TRUE,1)))</f>
        <v/>
      </c>
      <c r="AO94" s="23">
        <f>IF(T94="","",IF('分位数阈值'!$D$15="","",IFS(T94&lt;='分位数阈值'!$G$15,5,T94&lt;='分位数阈值'!$F$15,4,T94&lt;='分位数阈值'!$E$15,3,T94&lt;='分位数阈值'!$D$15,2,TRUE,1)))</f>
        <v/>
      </c>
      <c r="AP94" s="23">
        <f>IF(U94="","",IF(U94=1,5,1))</f>
        <v/>
      </c>
      <c r="AQ94" s="23">
        <f>IF(V94="","",V94)</f>
        <v/>
      </c>
      <c r="AR94" s="23">
        <f>IF(W94="","",IF('分位数阈值'!$D$16="","",IFS(W94&lt;='分位数阈值'!$G$16,5,W94&lt;='分位数阈值'!$F$16,4,W94&lt;='分位数阈值'!$E$16,3,W94&lt;='分位数阈值'!$D$16,2,TRUE,1)))</f>
        <v/>
      </c>
      <c r="AS94" s="23">
        <f>IF(X94="","",X94)</f>
        <v/>
      </c>
      <c r="AT94" s="23">
        <f>IF(Y94="","",Y94)</f>
        <v/>
      </c>
      <c r="AU94" s="10">
        <f>IF($A94="","",IF(OR(Z94=1,AR94=1,AJ94=1),"淘汰","通过"))</f>
        <v/>
      </c>
      <c r="AV94" s="10">
        <f>IF($A94="","",IF(OR(AA94=1,AR94=1,AND(AK94=1,AI94=1),AO94=1),"淘汰","通过"))</f>
        <v/>
      </c>
      <c r="AW94" s="24">
        <f>IF($A94="","",IF(AU94="淘汰","",ROUND(SUMPRODUCT(Z94:AT94,Z$2:AT$2)/5,1)))</f>
        <v/>
      </c>
      <c r="AX94" s="24">
        <f>IF($A94="","",IF(AV94="淘汰","",ROUND(SUMPRODUCT(Z94:AT94,Z$3:AT$3)/5,1)))</f>
        <v/>
      </c>
    </row>
    <row r="95" ht="15.75" customHeight="1" s="25">
      <c r="A95" s="22" t="n"/>
      <c r="B95" s="20" t="n"/>
      <c r="C95" s="22" t="n"/>
      <c r="D95" s="22" t="n"/>
      <c r="E95" s="22" t="n"/>
      <c r="F95" s="22" t="n"/>
      <c r="G95" s="21" t="n"/>
      <c r="H95" s="21" t="n"/>
      <c r="I95" s="21" t="n"/>
      <c r="J95" s="21" t="n"/>
      <c r="K95" s="21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3">
        <f>IF(E95="","",IF('分位数阈值'!$D$2="","",IFS(E95&gt;='分位数阈值'!$D$2,5,E95&gt;='分位数阈值'!$E$2,4,E95&gt;='分位数阈值'!$F$2,3,E95&gt;='分位数阈值'!$G$2,2,TRUE,1)))</f>
        <v/>
      </c>
      <c r="AA95" s="23">
        <f>IF(F95="","",IF('分位数阈值'!$D$3="","",IFS(F95&gt;='分位数阈值'!$D$3,5,F95&gt;='分位数阈值'!$E$3,4,F95&gt;='分位数阈值'!$F$3,3,F95&gt;='分位数阈值'!$G$3,2,TRUE,1)))</f>
        <v/>
      </c>
      <c r="AB95" s="23">
        <f>IF(G95="","",IF('分位数阈值'!$D$4="","",IFS(G95&gt;='分位数阈值'!$D$4,5,G95&gt;='分位数阈值'!$E$4,4,G95&gt;='分位数阈值'!$F$4,3,G95&gt;='分位数阈值'!$G$4,2,TRUE,1)))</f>
        <v/>
      </c>
      <c r="AC95" s="23">
        <f>IF(H95="","",IF('分位数阈值'!$D$5="","",IFS(H95&gt;='分位数阈值'!$D$5,5,H95&gt;='分位数阈值'!$E$5,4,H95&gt;='分位数阈值'!$F$5,3,H95&gt;='分位数阈值'!$G$5,2,TRUE,1)))</f>
        <v/>
      </c>
      <c r="AD95" s="23">
        <f>IF(I95="","",IF('分位数阈值'!$D$6="","",IFS(I95&gt;='分位数阈值'!$D$6,5,I95&gt;='分位数阈值'!$E$6,4,I95&gt;='分位数阈值'!$F$6,3,I95&gt;='分位数阈值'!$G$6,2,TRUE,1)))</f>
        <v/>
      </c>
      <c r="AE95" s="23">
        <f>IF(J95="","",IF('分位数阈值'!$D$7="","",IFS(J95&gt;='分位数阈值'!$D$7,5,J95&gt;='分位数阈值'!$E$7,4,J95&gt;='分位数阈值'!$F$7,3,J95&gt;='分位数阈值'!$G$7,2,TRUE,1)))</f>
        <v/>
      </c>
      <c r="AF95" s="23">
        <f>IF(K95="","",IF('分位数阈值'!$D$8="","",IFS(K95&gt;='分位数阈值'!$D$8,5,K95&gt;='分位数阈值'!$E$8,4,K95&gt;='分位数阈值'!$F$8,3,K95&gt;='分位数阈值'!$G$8,2,TRUE,1)))</f>
        <v/>
      </c>
      <c r="AG95" s="23">
        <f>IF(L95="","",IF('分位数阈值'!$D$9="","",IFS(L95&gt;='分位数阈值'!$D$9,5,L95&gt;='分位数阈值'!$E$9,4,L95&gt;='分位数阈值'!$F$9,3,L95&gt;='分位数阈值'!$G$9,2,TRUE,1)))</f>
        <v/>
      </c>
      <c r="AH95" s="23">
        <f>IF(M95="","",IF('分位数阈值'!$D$10="","",IFS(M95&lt;='分位数阈值'!$G$10,5,M95&lt;='分位数阈值'!$F$10,4,M95&lt;='分位数阈值'!$E$10,3,M95&lt;='分位数阈值'!$D$10,2,TRUE,1)))</f>
        <v/>
      </c>
      <c r="AI95" s="23">
        <f>IF(N95="","",IF('分位数阈值'!$D$11="","",IFS(N95&lt;='分位数阈值'!$G$11,5,N95&lt;='分位数阈值'!$F$11,4,N95&lt;='分位数阈值'!$E$11,3,N95&lt;='分位数阈值'!$D$11,2,TRUE,1)))</f>
        <v/>
      </c>
      <c r="AJ95" s="23">
        <f>IF(P95="","",IF(P95=1,1,5))</f>
        <v/>
      </c>
      <c r="AK95" s="23">
        <f>IF(Q95="","",IF(Q95=1,1,5))</f>
        <v/>
      </c>
      <c r="AL95" s="23">
        <f>IF(O95="","",IF('分位数阈值'!$D$12="","",IFS(O95&gt;='分位数阈值'!$D$12,5,O95&gt;='分位数阈值'!$E$12,4,O95&gt;='分位数阈值'!$F$12,3,O95&gt;='分位数阈值'!$G$12,2,TRUE,1)))</f>
        <v/>
      </c>
      <c r="AM95" s="23">
        <f>IF(R95="","",IF('分位数阈值'!$D$13="","",IFS(R95&lt;='分位数阈值'!$G$13,5,R95&lt;='分位数阈值'!$F$13,4,R95&lt;='分位数阈值'!$E$13,3,R95&lt;='分位数阈值'!$D$13,2,TRUE,1)))</f>
        <v/>
      </c>
      <c r="AN95" s="23">
        <f>IF(S95="","",IF('分位数阈值'!$D$14="","",IFS(S95&lt;='分位数阈值'!$G$14,5,S95&lt;='分位数阈值'!$F$14,4,S95&lt;='分位数阈值'!$E$14,3,S95&lt;='分位数阈值'!$D$14,2,TRUE,1)))</f>
        <v/>
      </c>
      <c r="AO95" s="23">
        <f>IF(T95="","",IF('分位数阈值'!$D$15="","",IFS(T95&lt;='分位数阈值'!$G$15,5,T95&lt;='分位数阈值'!$F$15,4,T95&lt;='分位数阈值'!$E$15,3,T95&lt;='分位数阈值'!$D$15,2,TRUE,1)))</f>
        <v/>
      </c>
      <c r="AP95" s="23">
        <f>IF(U95="","",IF(U95=1,5,1))</f>
        <v/>
      </c>
      <c r="AQ95" s="23">
        <f>IF(V95="","",V95)</f>
        <v/>
      </c>
      <c r="AR95" s="23">
        <f>IF(W95="","",IF('分位数阈值'!$D$16="","",IFS(W95&lt;='分位数阈值'!$G$16,5,W95&lt;='分位数阈值'!$F$16,4,W95&lt;='分位数阈值'!$E$16,3,W95&lt;='分位数阈值'!$D$16,2,TRUE,1)))</f>
        <v/>
      </c>
      <c r="AS95" s="23">
        <f>IF(X95="","",X95)</f>
        <v/>
      </c>
      <c r="AT95" s="23">
        <f>IF(Y95="","",Y95)</f>
        <v/>
      </c>
      <c r="AU95" s="10">
        <f>IF($A95="","",IF(OR(Z95=1,AR95=1,AJ95=1),"淘汰","通过"))</f>
        <v/>
      </c>
      <c r="AV95" s="10">
        <f>IF($A95="","",IF(OR(AA95=1,AR95=1,AND(AK95=1,AI95=1),AO95=1),"淘汰","通过"))</f>
        <v/>
      </c>
      <c r="AW95" s="24">
        <f>IF($A95="","",IF(AU95="淘汰","",ROUND(SUMPRODUCT(Z95:AT95,Z$2:AT$2)/5,1)))</f>
        <v/>
      </c>
      <c r="AX95" s="24">
        <f>IF($A95="","",IF(AV95="淘汰","",ROUND(SUMPRODUCT(Z95:AT95,Z$3:AT$3)/5,1)))</f>
        <v/>
      </c>
    </row>
    <row r="96" ht="15.75" customHeight="1" s="25">
      <c r="A96" s="22" t="n"/>
      <c r="B96" s="20" t="n"/>
      <c r="C96" s="22" t="n"/>
      <c r="D96" s="22" t="n"/>
      <c r="E96" s="22" t="n"/>
      <c r="F96" s="22" t="n"/>
      <c r="G96" s="21" t="n"/>
      <c r="H96" s="21" t="n"/>
      <c r="I96" s="21" t="n"/>
      <c r="J96" s="21" t="n"/>
      <c r="K96" s="21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3">
        <f>IF(E96="","",IF('分位数阈值'!$D$2="","",IFS(E96&gt;='分位数阈值'!$D$2,5,E96&gt;='分位数阈值'!$E$2,4,E96&gt;='分位数阈值'!$F$2,3,E96&gt;='分位数阈值'!$G$2,2,TRUE,1)))</f>
        <v/>
      </c>
      <c r="AA96" s="23">
        <f>IF(F96="","",IF('分位数阈值'!$D$3="","",IFS(F96&gt;='分位数阈值'!$D$3,5,F96&gt;='分位数阈值'!$E$3,4,F96&gt;='分位数阈值'!$F$3,3,F96&gt;='分位数阈值'!$G$3,2,TRUE,1)))</f>
        <v/>
      </c>
      <c r="AB96" s="23">
        <f>IF(G96="","",IF('分位数阈值'!$D$4="","",IFS(G96&gt;='分位数阈值'!$D$4,5,G96&gt;='分位数阈值'!$E$4,4,G96&gt;='分位数阈值'!$F$4,3,G96&gt;='分位数阈值'!$G$4,2,TRUE,1)))</f>
        <v/>
      </c>
      <c r="AC96" s="23">
        <f>IF(H96="","",IF('分位数阈值'!$D$5="","",IFS(H96&gt;='分位数阈值'!$D$5,5,H96&gt;='分位数阈值'!$E$5,4,H96&gt;='分位数阈值'!$F$5,3,H96&gt;='分位数阈值'!$G$5,2,TRUE,1)))</f>
        <v/>
      </c>
      <c r="AD96" s="23">
        <f>IF(I96="","",IF('分位数阈值'!$D$6="","",IFS(I96&gt;='分位数阈值'!$D$6,5,I96&gt;='分位数阈值'!$E$6,4,I96&gt;='分位数阈值'!$F$6,3,I96&gt;='分位数阈值'!$G$6,2,TRUE,1)))</f>
        <v/>
      </c>
      <c r="AE96" s="23">
        <f>IF(J96="","",IF('分位数阈值'!$D$7="","",IFS(J96&gt;='分位数阈值'!$D$7,5,J96&gt;='分位数阈值'!$E$7,4,J96&gt;='分位数阈值'!$F$7,3,J96&gt;='分位数阈值'!$G$7,2,TRUE,1)))</f>
        <v/>
      </c>
      <c r="AF96" s="23">
        <f>IF(K96="","",IF('分位数阈值'!$D$8="","",IFS(K96&gt;='分位数阈值'!$D$8,5,K96&gt;='分位数阈值'!$E$8,4,K96&gt;='分位数阈值'!$F$8,3,K96&gt;='分位数阈值'!$G$8,2,TRUE,1)))</f>
        <v/>
      </c>
      <c r="AG96" s="23">
        <f>IF(L96="","",IF('分位数阈值'!$D$9="","",IFS(L96&gt;='分位数阈值'!$D$9,5,L96&gt;='分位数阈值'!$E$9,4,L96&gt;='分位数阈值'!$F$9,3,L96&gt;='分位数阈值'!$G$9,2,TRUE,1)))</f>
        <v/>
      </c>
      <c r="AH96" s="23">
        <f>IF(M96="","",IF('分位数阈值'!$D$10="","",IFS(M96&lt;='分位数阈值'!$G$10,5,M96&lt;='分位数阈值'!$F$10,4,M96&lt;='分位数阈值'!$E$10,3,M96&lt;='分位数阈值'!$D$10,2,TRUE,1)))</f>
        <v/>
      </c>
      <c r="AI96" s="23">
        <f>IF(N96="","",IF('分位数阈值'!$D$11="","",IFS(N96&lt;='分位数阈值'!$G$11,5,N96&lt;='分位数阈值'!$F$11,4,N96&lt;='分位数阈值'!$E$11,3,N96&lt;='分位数阈值'!$D$11,2,TRUE,1)))</f>
        <v/>
      </c>
      <c r="AJ96" s="23">
        <f>IF(P96="","",IF(P96=1,1,5))</f>
        <v/>
      </c>
      <c r="AK96" s="23">
        <f>IF(Q96="","",IF(Q96=1,1,5))</f>
        <v/>
      </c>
      <c r="AL96" s="23">
        <f>IF(O96="","",IF('分位数阈值'!$D$12="","",IFS(O96&gt;='分位数阈值'!$D$12,5,O96&gt;='分位数阈值'!$E$12,4,O96&gt;='分位数阈值'!$F$12,3,O96&gt;='分位数阈值'!$G$12,2,TRUE,1)))</f>
        <v/>
      </c>
      <c r="AM96" s="23">
        <f>IF(R96="","",IF('分位数阈值'!$D$13="","",IFS(R96&lt;='分位数阈值'!$G$13,5,R96&lt;='分位数阈值'!$F$13,4,R96&lt;='分位数阈值'!$E$13,3,R96&lt;='分位数阈值'!$D$13,2,TRUE,1)))</f>
        <v/>
      </c>
      <c r="AN96" s="23">
        <f>IF(S96="","",IF('分位数阈值'!$D$14="","",IFS(S96&lt;='分位数阈值'!$G$14,5,S96&lt;='分位数阈值'!$F$14,4,S96&lt;='分位数阈值'!$E$14,3,S96&lt;='分位数阈值'!$D$14,2,TRUE,1)))</f>
        <v/>
      </c>
      <c r="AO96" s="23">
        <f>IF(T96="","",IF('分位数阈值'!$D$15="","",IFS(T96&lt;='分位数阈值'!$G$15,5,T96&lt;='分位数阈值'!$F$15,4,T96&lt;='分位数阈值'!$E$15,3,T96&lt;='分位数阈值'!$D$15,2,TRUE,1)))</f>
        <v/>
      </c>
      <c r="AP96" s="23">
        <f>IF(U96="","",IF(U96=1,5,1))</f>
        <v/>
      </c>
      <c r="AQ96" s="23">
        <f>IF(V96="","",V96)</f>
        <v/>
      </c>
      <c r="AR96" s="23">
        <f>IF(W96="","",IF('分位数阈值'!$D$16="","",IFS(W96&lt;='分位数阈值'!$G$16,5,W96&lt;='分位数阈值'!$F$16,4,W96&lt;='分位数阈值'!$E$16,3,W96&lt;='分位数阈值'!$D$16,2,TRUE,1)))</f>
        <v/>
      </c>
      <c r="AS96" s="23">
        <f>IF(X96="","",X96)</f>
        <v/>
      </c>
      <c r="AT96" s="23">
        <f>IF(Y96="","",Y96)</f>
        <v/>
      </c>
      <c r="AU96" s="10">
        <f>IF($A96="","",IF(OR(Z96=1,AR96=1,AJ96=1),"淘汰","通过"))</f>
        <v/>
      </c>
      <c r="AV96" s="10">
        <f>IF($A96="","",IF(OR(AA96=1,AR96=1,AND(AK96=1,AI96=1),AO96=1),"淘汰","通过"))</f>
        <v/>
      </c>
      <c r="AW96" s="24">
        <f>IF($A96="","",IF(AU96="淘汰","",ROUND(SUMPRODUCT(Z96:AT96,Z$2:AT$2)/5,1)))</f>
        <v/>
      </c>
      <c r="AX96" s="24">
        <f>IF($A96="","",IF(AV96="淘汰","",ROUND(SUMPRODUCT(Z96:AT96,Z$3:AT$3)/5,1)))</f>
        <v/>
      </c>
    </row>
    <row r="97" ht="15.75" customHeight="1" s="25">
      <c r="A97" s="22" t="n"/>
      <c r="B97" s="20" t="n"/>
      <c r="C97" s="22" t="n"/>
      <c r="D97" s="22" t="n"/>
      <c r="E97" s="22" t="n"/>
      <c r="F97" s="22" t="n"/>
      <c r="G97" s="21" t="n"/>
      <c r="H97" s="21" t="n"/>
      <c r="I97" s="21" t="n"/>
      <c r="J97" s="21" t="n"/>
      <c r="K97" s="21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3">
        <f>IF(E97="","",IF('分位数阈值'!$D$2="","",IFS(E97&gt;='分位数阈值'!$D$2,5,E97&gt;='分位数阈值'!$E$2,4,E97&gt;='分位数阈值'!$F$2,3,E97&gt;='分位数阈值'!$G$2,2,TRUE,1)))</f>
        <v/>
      </c>
      <c r="AA97" s="23">
        <f>IF(F97="","",IF('分位数阈值'!$D$3="","",IFS(F97&gt;='分位数阈值'!$D$3,5,F97&gt;='分位数阈值'!$E$3,4,F97&gt;='分位数阈值'!$F$3,3,F97&gt;='分位数阈值'!$G$3,2,TRUE,1)))</f>
        <v/>
      </c>
      <c r="AB97" s="23">
        <f>IF(G97="","",IF('分位数阈值'!$D$4="","",IFS(G97&gt;='分位数阈值'!$D$4,5,G97&gt;='分位数阈值'!$E$4,4,G97&gt;='分位数阈值'!$F$4,3,G97&gt;='分位数阈值'!$G$4,2,TRUE,1)))</f>
        <v/>
      </c>
      <c r="AC97" s="23">
        <f>IF(H97="","",IF('分位数阈值'!$D$5="","",IFS(H97&gt;='分位数阈值'!$D$5,5,H97&gt;='分位数阈值'!$E$5,4,H97&gt;='分位数阈值'!$F$5,3,H97&gt;='分位数阈值'!$G$5,2,TRUE,1)))</f>
        <v/>
      </c>
      <c r="AD97" s="23">
        <f>IF(I97="","",IF('分位数阈值'!$D$6="","",IFS(I97&gt;='分位数阈值'!$D$6,5,I97&gt;='分位数阈值'!$E$6,4,I97&gt;='分位数阈值'!$F$6,3,I97&gt;='分位数阈值'!$G$6,2,TRUE,1)))</f>
        <v/>
      </c>
      <c r="AE97" s="23">
        <f>IF(J97="","",IF('分位数阈值'!$D$7="","",IFS(J97&gt;='分位数阈值'!$D$7,5,J97&gt;='分位数阈值'!$E$7,4,J97&gt;='分位数阈值'!$F$7,3,J97&gt;='分位数阈值'!$G$7,2,TRUE,1)))</f>
        <v/>
      </c>
      <c r="AF97" s="23">
        <f>IF(K97="","",IF('分位数阈值'!$D$8="","",IFS(K97&gt;='分位数阈值'!$D$8,5,K97&gt;='分位数阈值'!$E$8,4,K97&gt;='分位数阈值'!$F$8,3,K97&gt;='分位数阈值'!$G$8,2,TRUE,1)))</f>
        <v/>
      </c>
      <c r="AG97" s="23">
        <f>IF(L97="","",IF('分位数阈值'!$D$9="","",IFS(L97&gt;='分位数阈值'!$D$9,5,L97&gt;='分位数阈值'!$E$9,4,L97&gt;='分位数阈值'!$F$9,3,L97&gt;='分位数阈值'!$G$9,2,TRUE,1)))</f>
        <v/>
      </c>
      <c r="AH97" s="23">
        <f>IF(M97="","",IF('分位数阈值'!$D$10="","",IFS(M97&lt;='分位数阈值'!$G$10,5,M97&lt;='分位数阈值'!$F$10,4,M97&lt;='分位数阈值'!$E$10,3,M97&lt;='分位数阈值'!$D$10,2,TRUE,1)))</f>
        <v/>
      </c>
      <c r="AI97" s="23">
        <f>IF(N97="","",IF('分位数阈值'!$D$11="","",IFS(N97&lt;='分位数阈值'!$G$11,5,N97&lt;='分位数阈值'!$F$11,4,N97&lt;='分位数阈值'!$E$11,3,N97&lt;='分位数阈值'!$D$11,2,TRUE,1)))</f>
        <v/>
      </c>
      <c r="AJ97" s="23">
        <f>IF(P97="","",IF(P97=1,1,5))</f>
        <v/>
      </c>
      <c r="AK97" s="23">
        <f>IF(Q97="","",IF(Q97=1,1,5))</f>
        <v/>
      </c>
      <c r="AL97" s="23">
        <f>IF(O97="","",IF('分位数阈值'!$D$12="","",IFS(O97&gt;='分位数阈值'!$D$12,5,O97&gt;='分位数阈值'!$E$12,4,O97&gt;='分位数阈值'!$F$12,3,O97&gt;='分位数阈值'!$G$12,2,TRUE,1)))</f>
        <v/>
      </c>
      <c r="AM97" s="23">
        <f>IF(R97="","",IF('分位数阈值'!$D$13="","",IFS(R97&lt;='分位数阈值'!$G$13,5,R97&lt;='分位数阈值'!$F$13,4,R97&lt;='分位数阈值'!$E$13,3,R97&lt;='分位数阈值'!$D$13,2,TRUE,1)))</f>
        <v/>
      </c>
      <c r="AN97" s="23">
        <f>IF(S97="","",IF('分位数阈值'!$D$14="","",IFS(S97&lt;='分位数阈值'!$G$14,5,S97&lt;='分位数阈值'!$F$14,4,S97&lt;='分位数阈值'!$E$14,3,S97&lt;='分位数阈值'!$D$14,2,TRUE,1)))</f>
        <v/>
      </c>
      <c r="AO97" s="23">
        <f>IF(T97="","",IF('分位数阈值'!$D$15="","",IFS(T97&lt;='分位数阈值'!$G$15,5,T97&lt;='分位数阈值'!$F$15,4,T97&lt;='分位数阈值'!$E$15,3,T97&lt;='分位数阈值'!$D$15,2,TRUE,1)))</f>
        <v/>
      </c>
      <c r="AP97" s="23">
        <f>IF(U97="","",IF(U97=1,5,1))</f>
        <v/>
      </c>
      <c r="AQ97" s="23">
        <f>IF(V97="","",V97)</f>
        <v/>
      </c>
      <c r="AR97" s="23">
        <f>IF(W97="","",IF('分位数阈值'!$D$16="","",IFS(W97&lt;='分位数阈值'!$G$16,5,W97&lt;='分位数阈值'!$F$16,4,W97&lt;='分位数阈值'!$E$16,3,W97&lt;='分位数阈值'!$D$16,2,TRUE,1)))</f>
        <v/>
      </c>
      <c r="AS97" s="23">
        <f>IF(X97="","",X97)</f>
        <v/>
      </c>
      <c r="AT97" s="23">
        <f>IF(Y97="","",Y97)</f>
        <v/>
      </c>
      <c r="AU97" s="10">
        <f>IF($A97="","",IF(OR(Z97=1,AR97=1,AJ97=1),"淘汰","通过"))</f>
        <v/>
      </c>
      <c r="AV97" s="10">
        <f>IF($A97="","",IF(OR(AA97=1,AR97=1,AND(AK97=1,AI97=1),AO97=1),"淘汰","通过"))</f>
        <v/>
      </c>
      <c r="AW97" s="24">
        <f>IF($A97="","",IF(AU97="淘汰","",ROUND(SUMPRODUCT(Z97:AT97,Z$2:AT$2)/5,1)))</f>
        <v/>
      </c>
      <c r="AX97" s="24">
        <f>IF($A97="","",IF(AV97="淘汰","",ROUND(SUMPRODUCT(Z97:AT97,Z$3:AT$3)/5,1)))</f>
        <v/>
      </c>
    </row>
    <row r="98" ht="15.75" customHeight="1" s="25">
      <c r="A98" s="22" t="n"/>
      <c r="B98" s="20" t="n"/>
      <c r="C98" s="22" t="n"/>
      <c r="D98" s="22" t="n"/>
      <c r="E98" s="22" t="n"/>
      <c r="F98" s="22" t="n"/>
      <c r="G98" s="21" t="n"/>
      <c r="H98" s="21" t="n"/>
      <c r="I98" s="21" t="n"/>
      <c r="J98" s="21" t="n"/>
      <c r="K98" s="21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3">
        <f>IF(E98="","",IF('分位数阈值'!$D$2="","",IFS(E98&gt;='分位数阈值'!$D$2,5,E98&gt;='分位数阈值'!$E$2,4,E98&gt;='分位数阈值'!$F$2,3,E98&gt;='分位数阈值'!$G$2,2,TRUE,1)))</f>
        <v/>
      </c>
      <c r="AA98" s="23">
        <f>IF(F98="","",IF('分位数阈值'!$D$3="","",IFS(F98&gt;='分位数阈值'!$D$3,5,F98&gt;='分位数阈值'!$E$3,4,F98&gt;='分位数阈值'!$F$3,3,F98&gt;='分位数阈值'!$G$3,2,TRUE,1)))</f>
        <v/>
      </c>
      <c r="AB98" s="23">
        <f>IF(G98="","",IF('分位数阈值'!$D$4="","",IFS(G98&gt;='分位数阈值'!$D$4,5,G98&gt;='分位数阈值'!$E$4,4,G98&gt;='分位数阈值'!$F$4,3,G98&gt;='分位数阈值'!$G$4,2,TRUE,1)))</f>
        <v/>
      </c>
      <c r="AC98" s="23">
        <f>IF(H98="","",IF('分位数阈值'!$D$5="","",IFS(H98&gt;='分位数阈值'!$D$5,5,H98&gt;='分位数阈值'!$E$5,4,H98&gt;='分位数阈值'!$F$5,3,H98&gt;='分位数阈值'!$G$5,2,TRUE,1)))</f>
        <v/>
      </c>
      <c r="AD98" s="23">
        <f>IF(I98="","",IF('分位数阈值'!$D$6="","",IFS(I98&gt;='分位数阈值'!$D$6,5,I98&gt;='分位数阈值'!$E$6,4,I98&gt;='分位数阈值'!$F$6,3,I98&gt;='分位数阈值'!$G$6,2,TRUE,1)))</f>
        <v/>
      </c>
      <c r="AE98" s="23">
        <f>IF(J98="","",IF('分位数阈值'!$D$7="","",IFS(J98&gt;='分位数阈值'!$D$7,5,J98&gt;='分位数阈值'!$E$7,4,J98&gt;='分位数阈值'!$F$7,3,J98&gt;='分位数阈值'!$G$7,2,TRUE,1)))</f>
        <v/>
      </c>
      <c r="AF98" s="23">
        <f>IF(K98="","",IF('分位数阈值'!$D$8="","",IFS(K98&gt;='分位数阈值'!$D$8,5,K98&gt;='分位数阈值'!$E$8,4,K98&gt;='分位数阈值'!$F$8,3,K98&gt;='分位数阈值'!$G$8,2,TRUE,1)))</f>
        <v/>
      </c>
      <c r="AG98" s="23">
        <f>IF(L98="","",IF('分位数阈值'!$D$9="","",IFS(L98&gt;='分位数阈值'!$D$9,5,L98&gt;='分位数阈值'!$E$9,4,L98&gt;='分位数阈值'!$F$9,3,L98&gt;='分位数阈值'!$G$9,2,TRUE,1)))</f>
        <v/>
      </c>
      <c r="AH98" s="23">
        <f>IF(M98="","",IF('分位数阈值'!$D$10="","",IFS(M98&lt;='分位数阈值'!$G$10,5,M98&lt;='分位数阈值'!$F$10,4,M98&lt;='分位数阈值'!$E$10,3,M98&lt;='分位数阈值'!$D$10,2,TRUE,1)))</f>
        <v/>
      </c>
      <c r="AI98" s="23">
        <f>IF(N98="","",IF('分位数阈值'!$D$11="","",IFS(N98&lt;='分位数阈值'!$G$11,5,N98&lt;='分位数阈值'!$F$11,4,N98&lt;='分位数阈值'!$E$11,3,N98&lt;='分位数阈值'!$D$11,2,TRUE,1)))</f>
        <v/>
      </c>
      <c r="AJ98" s="23">
        <f>IF(P98="","",IF(P98=1,1,5))</f>
        <v/>
      </c>
      <c r="AK98" s="23">
        <f>IF(Q98="","",IF(Q98=1,1,5))</f>
        <v/>
      </c>
      <c r="AL98" s="23">
        <f>IF(O98="","",IF('分位数阈值'!$D$12="","",IFS(O98&gt;='分位数阈值'!$D$12,5,O98&gt;='分位数阈值'!$E$12,4,O98&gt;='分位数阈值'!$F$12,3,O98&gt;='分位数阈值'!$G$12,2,TRUE,1)))</f>
        <v/>
      </c>
      <c r="AM98" s="23">
        <f>IF(R98="","",IF('分位数阈值'!$D$13="","",IFS(R98&lt;='分位数阈值'!$G$13,5,R98&lt;='分位数阈值'!$F$13,4,R98&lt;='分位数阈值'!$E$13,3,R98&lt;='分位数阈值'!$D$13,2,TRUE,1)))</f>
        <v/>
      </c>
      <c r="AN98" s="23">
        <f>IF(S98="","",IF('分位数阈值'!$D$14="","",IFS(S98&lt;='分位数阈值'!$G$14,5,S98&lt;='分位数阈值'!$F$14,4,S98&lt;='分位数阈值'!$E$14,3,S98&lt;='分位数阈值'!$D$14,2,TRUE,1)))</f>
        <v/>
      </c>
      <c r="AO98" s="23">
        <f>IF(T98="","",IF('分位数阈值'!$D$15="","",IFS(T98&lt;='分位数阈值'!$G$15,5,T98&lt;='分位数阈值'!$F$15,4,T98&lt;='分位数阈值'!$E$15,3,T98&lt;='分位数阈值'!$D$15,2,TRUE,1)))</f>
        <v/>
      </c>
      <c r="AP98" s="23">
        <f>IF(U98="","",IF(U98=1,5,1))</f>
        <v/>
      </c>
      <c r="AQ98" s="23">
        <f>IF(V98="","",V98)</f>
        <v/>
      </c>
      <c r="AR98" s="23">
        <f>IF(W98="","",IF('分位数阈值'!$D$16="","",IFS(W98&lt;='分位数阈值'!$G$16,5,W98&lt;='分位数阈值'!$F$16,4,W98&lt;='分位数阈值'!$E$16,3,W98&lt;='分位数阈值'!$D$16,2,TRUE,1)))</f>
        <v/>
      </c>
      <c r="AS98" s="23">
        <f>IF(X98="","",X98)</f>
        <v/>
      </c>
      <c r="AT98" s="23">
        <f>IF(Y98="","",Y98)</f>
        <v/>
      </c>
      <c r="AU98" s="10">
        <f>IF($A98="","",IF(OR(Z98=1,AR98=1,AJ98=1),"淘汰","通过"))</f>
        <v/>
      </c>
      <c r="AV98" s="10">
        <f>IF($A98="","",IF(OR(AA98=1,AR98=1,AND(AK98=1,AI98=1),AO98=1),"淘汰","通过"))</f>
        <v/>
      </c>
      <c r="AW98" s="24">
        <f>IF($A98="","",IF(AU98="淘汰","",ROUND(SUMPRODUCT(Z98:AT98,Z$2:AT$2)/5,1)))</f>
        <v/>
      </c>
      <c r="AX98" s="24">
        <f>IF($A98="","",IF(AV98="淘汰","",ROUND(SUMPRODUCT(Z98:AT98,Z$3:AT$3)/5,1)))</f>
        <v/>
      </c>
    </row>
    <row r="99" ht="15.75" customHeight="1" s="25">
      <c r="A99" s="22" t="n"/>
      <c r="B99" s="20" t="n"/>
      <c r="C99" s="22" t="n"/>
      <c r="D99" s="22" t="n"/>
      <c r="E99" s="22" t="n"/>
      <c r="F99" s="22" t="n"/>
      <c r="G99" s="21" t="n"/>
      <c r="H99" s="21" t="n"/>
      <c r="I99" s="21" t="n"/>
      <c r="J99" s="21" t="n"/>
      <c r="K99" s="21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3">
        <f>IF(E99="","",IF('分位数阈值'!$D$2="","",IFS(E99&gt;='分位数阈值'!$D$2,5,E99&gt;='分位数阈值'!$E$2,4,E99&gt;='分位数阈值'!$F$2,3,E99&gt;='分位数阈值'!$G$2,2,TRUE,1)))</f>
        <v/>
      </c>
      <c r="AA99" s="23">
        <f>IF(F99="","",IF('分位数阈值'!$D$3="","",IFS(F99&gt;='分位数阈值'!$D$3,5,F99&gt;='分位数阈值'!$E$3,4,F99&gt;='分位数阈值'!$F$3,3,F99&gt;='分位数阈值'!$G$3,2,TRUE,1)))</f>
        <v/>
      </c>
      <c r="AB99" s="23">
        <f>IF(G99="","",IF('分位数阈值'!$D$4="","",IFS(G99&gt;='分位数阈值'!$D$4,5,G99&gt;='分位数阈值'!$E$4,4,G99&gt;='分位数阈值'!$F$4,3,G99&gt;='分位数阈值'!$G$4,2,TRUE,1)))</f>
        <v/>
      </c>
      <c r="AC99" s="23">
        <f>IF(H99="","",IF('分位数阈值'!$D$5="","",IFS(H99&gt;='分位数阈值'!$D$5,5,H99&gt;='分位数阈值'!$E$5,4,H99&gt;='分位数阈值'!$F$5,3,H99&gt;='分位数阈值'!$G$5,2,TRUE,1)))</f>
        <v/>
      </c>
      <c r="AD99" s="23">
        <f>IF(I99="","",IF('分位数阈值'!$D$6="","",IFS(I99&gt;='分位数阈值'!$D$6,5,I99&gt;='分位数阈值'!$E$6,4,I99&gt;='分位数阈值'!$F$6,3,I99&gt;='分位数阈值'!$G$6,2,TRUE,1)))</f>
        <v/>
      </c>
      <c r="AE99" s="23">
        <f>IF(J99="","",IF('分位数阈值'!$D$7="","",IFS(J99&gt;='分位数阈值'!$D$7,5,J99&gt;='分位数阈值'!$E$7,4,J99&gt;='分位数阈值'!$F$7,3,J99&gt;='分位数阈值'!$G$7,2,TRUE,1)))</f>
        <v/>
      </c>
      <c r="AF99" s="23">
        <f>IF(K99="","",IF('分位数阈值'!$D$8="","",IFS(K99&gt;='分位数阈值'!$D$8,5,K99&gt;='分位数阈值'!$E$8,4,K99&gt;='分位数阈值'!$F$8,3,K99&gt;='分位数阈值'!$G$8,2,TRUE,1)))</f>
        <v/>
      </c>
      <c r="AG99" s="23">
        <f>IF(L99="","",IF('分位数阈值'!$D$9="","",IFS(L99&gt;='分位数阈值'!$D$9,5,L99&gt;='分位数阈值'!$E$9,4,L99&gt;='分位数阈值'!$F$9,3,L99&gt;='分位数阈值'!$G$9,2,TRUE,1)))</f>
        <v/>
      </c>
      <c r="AH99" s="23">
        <f>IF(M99="","",IF('分位数阈值'!$D$10="","",IFS(M99&lt;='分位数阈值'!$G$10,5,M99&lt;='分位数阈值'!$F$10,4,M99&lt;='分位数阈值'!$E$10,3,M99&lt;='分位数阈值'!$D$10,2,TRUE,1)))</f>
        <v/>
      </c>
      <c r="AI99" s="23">
        <f>IF(N99="","",IF('分位数阈值'!$D$11="","",IFS(N99&lt;='分位数阈值'!$G$11,5,N99&lt;='分位数阈值'!$F$11,4,N99&lt;='分位数阈值'!$E$11,3,N99&lt;='分位数阈值'!$D$11,2,TRUE,1)))</f>
        <v/>
      </c>
      <c r="AJ99" s="23">
        <f>IF(P99="","",IF(P99=1,1,5))</f>
        <v/>
      </c>
      <c r="AK99" s="23">
        <f>IF(Q99="","",IF(Q99=1,1,5))</f>
        <v/>
      </c>
      <c r="AL99" s="23">
        <f>IF(O99="","",IF('分位数阈值'!$D$12="","",IFS(O99&gt;='分位数阈值'!$D$12,5,O99&gt;='分位数阈值'!$E$12,4,O99&gt;='分位数阈值'!$F$12,3,O99&gt;='分位数阈值'!$G$12,2,TRUE,1)))</f>
        <v/>
      </c>
      <c r="AM99" s="23">
        <f>IF(R99="","",IF('分位数阈值'!$D$13="","",IFS(R99&lt;='分位数阈值'!$G$13,5,R99&lt;='分位数阈值'!$F$13,4,R99&lt;='分位数阈值'!$E$13,3,R99&lt;='分位数阈值'!$D$13,2,TRUE,1)))</f>
        <v/>
      </c>
      <c r="AN99" s="23">
        <f>IF(S99="","",IF('分位数阈值'!$D$14="","",IFS(S99&lt;='分位数阈值'!$G$14,5,S99&lt;='分位数阈值'!$F$14,4,S99&lt;='分位数阈值'!$E$14,3,S99&lt;='分位数阈值'!$D$14,2,TRUE,1)))</f>
        <v/>
      </c>
      <c r="AO99" s="23">
        <f>IF(T99="","",IF('分位数阈值'!$D$15="","",IFS(T99&lt;='分位数阈值'!$G$15,5,T99&lt;='分位数阈值'!$F$15,4,T99&lt;='分位数阈值'!$E$15,3,T99&lt;='分位数阈值'!$D$15,2,TRUE,1)))</f>
        <v/>
      </c>
      <c r="AP99" s="23">
        <f>IF(U99="","",IF(U99=1,5,1))</f>
        <v/>
      </c>
      <c r="AQ99" s="23">
        <f>IF(V99="","",V99)</f>
        <v/>
      </c>
      <c r="AR99" s="23">
        <f>IF(W99="","",IF('分位数阈值'!$D$16="","",IFS(W99&lt;='分位数阈值'!$G$16,5,W99&lt;='分位数阈值'!$F$16,4,W99&lt;='分位数阈值'!$E$16,3,W99&lt;='分位数阈值'!$D$16,2,TRUE,1)))</f>
        <v/>
      </c>
      <c r="AS99" s="23">
        <f>IF(X99="","",X99)</f>
        <v/>
      </c>
      <c r="AT99" s="23">
        <f>IF(Y99="","",Y99)</f>
        <v/>
      </c>
      <c r="AU99" s="10">
        <f>IF($A99="","",IF(OR(Z99=1,AR99=1,AJ99=1),"淘汰","通过"))</f>
        <v/>
      </c>
      <c r="AV99" s="10">
        <f>IF($A99="","",IF(OR(AA99=1,AR99=1,AND(AK99=1,AI99=1),AO99=1),"淘汰","通过"))</f>
        <v/>
      </c>
      <c r="AW99" s="24">
        <f>IF($A99="","",IF(AU99="淘汰","",ROUND(SUMPRODUCT(Z99:AT99,Z$2:AT$2)/5,1)))</f>
        <v/>
      </c>
      <c r="AX99" s="24">
        <f>IF($A99="","",IF(AV99="淘汰","",ROUND(SUMPRODUCT(Z99:AT99,Z$3:AT$3)/5,1)))</f>
        <v/>
      </c>
    </row>
    <row r="100" ht="15.75" customHeight="1" s="25">
      <c r="A100" s="22" t="n"/>
      <c r="B100" s="20" t="n"/>
      <c r="C100" s="22" t="n"/>
      <c r="D100" s="22" t="n"/>
      <c r="E100" s="22" t="n"/>
      <c r="F100" s="22" t="n"/>
      <c r="G100" s="21" t="n"/>
      <c r="H100" s="21" t="n"/>
      <c r="I100" s="21" t="n"/>
      <c r="J100" s="21" t="n"/>
      <c r="K100" s="21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3">
        <f>IF(E100="","",IF('分位数阈值'!$D$2="","",IFS(E100&gt;='分位数阈值'!$D$2,5,E100&gt;='分位数阈值'!$E$2,4,E100&gt;='分位数阈值'!$F$2,3,E100&gt;='分位数阈值'!$G$2,2,TRUE,1)))</f>
        <v/>
      </c>
      <c r="AA100" s="23">
        <f>IF(F100="","",IF('分位数阈值'!$D$3="","",IFS(F100&gt;='分位数阈值'!$D$3,5,F100&gt;='分位数阈值'!$E$3,4,F100&gt;='分位数阈值'!$F$3,3,F100&gt;='分位数阈值'!$G$3,2,TRUE,1)))</f>
        <v/>
      </c>
      <c r="AB100" s="23">
        <f>IF(G100="","",IF('分位数阈值'!$D$4="","",IFS(G100&gt;='分位数阈值'!$D$4,5,G100&gt;='分位数阈值'!$E$4,4,G100&gt;='分位数阈值'!$F$4,3,G100&gt;='分位数阈值'!$G$4,2,TRUE,1)))</f>
        <v/>
      </c>
      <c r="AC100" s="23">
        <f>IF(H100="","",IF('分位数阈值'!$D$5="","",IFS(H100&gt;='分位数阈值'!$D$5,5,H100&gt;='分位数阈值'!$E$5,4,H100&gt;='分位数阈值'!$F$5,3,H100&gt;='分位数阈值'!$G$5,2,TRUE,1)))</f>
        <v/>
      </c>
      <c r="AD100" s="23">
        <f>IF(I100="","",IF('分位数阈值'!$D$6="","",IFS(I100&gt;='分位数阈值'!$D$6,5,I100&gt;='分位数阈值'!$E$6,4,I100&gt;='分位数阈值'!$F$6,3,I100&gt;='分位数阈值'!$G$6,2,TRUE,1)))</f>
        <v/>
      </c>
      <c r="AE100" s="23">
        <f>IF(J100="","",IF('分位数阈值'!$D$7="","",IFS(J100&gt;='分位数阈值'!$D$7,5,J100&gt;='分位数阈值'!$E$7,4,J100&gt;='分位数阈值'!$F$7,3,J100&gt;='分位数阈值'!$G$7,2,TRUE,1)))</f>
        <v/>
      </c>
      <c r="AF100" s="23">
        <f>IF(K100="","",IF('分位数阈值'!$D$8="","",IFS(K100&gt;='分位数阈值'!$D$8,5,K100&gt;='分位数阈值'!$E$8,4,K100&gt;='分位数阈值'!$F$8,3,K100&gt;='分位数阈值'!$G$8,2,TRUE,1)))</f>
        <v/>
      </c>
      <c r="AG100" s="23">
        <f>IF(L100="","",IF('分位数阈值'!$D$9="","",IFS(L100&gt;='分位数阈值'!$D$9,5,L100&gt;='分位数阈值'!$E$9,4,L100&gt;='分位数阈值'!$F$9,3,L100&gt;='分位数阈值'!$G$9,2,TRUE,1)))</f>
        <v/>
      </c>
      <c r="AH100" s="23">
        <f>IF(M100="","",IF('分位数阈值'!$D$10="","",IFS(M100&lt;='分位数阈值'!$G$10,5,M100&lt;='分位数阈值'!$F$10,4,M100&lt;='分位数阈值'!$E$10,3,M100&lt;='分位数阈值'!$D$10,2,TRUE,1)))</f>
        <v/>
      </c>
      <c r="AI100" s="23">
        <f>IF(N100="","",IF('分位数阈值'!$D$11="","",IFS(N100&lt;='分位数阈值'!$G$11,5,N100&lt;='分位数阈值'!$F$11,4,N100&lt;='分位数阈值'!$E$11,3,N100&lt;='分位数阈值'!$D$11,2,TRUE,1)))</f>
        <v/>
      </c>
      <c r="AJ100" s="23">
        <f>IF(P100="","",IF(P100=1,1,5))</f>
        <v/>
      </c>
      <c r="AK100" s="23">
        <f>IF(Q100="","",IF(Q100=1,1,5))</f>
        <v/>
      </c>
      <c r="AL100" s="23">
        <f>IF(O100="","",IF('分位数阈值'!$D$12="","",IFS(O100&gt;='分位数阈值'!$D$12,5,O100&gt;='分位数阈值'!$E$12,4,O100&gt;='分位数阈值'!$F$12,3,O100&gt;='分位数阈值'!$G$12,2,TRUE,1)))</f>
        <v/>
      </c>
      <c r="AM100" s="23">
        <f>IF(R100="","",IF('分位数阈值'!$D$13="","",IFS(R100&lt;='分位数阈值'!$G$13,5,R100&lt;='分位数阈值'!$F$13,4,R100&lt;='分位数阈值'!$E$13,3,R100&lt;='分位数阈值'!$D$13,2,TRUE,1)))</f>
        <v/>
      </c>
      <c r="AN100" s="23">
        <f>IF(S100="","",IF('分位数阈值'!$D$14="","",IFS(S100&lt;='分位数阈值'!$G$14,5,S100&lt;='分位数阈值'!$F$14,4,S100&lt;='分位数阈值'!$E$14,3,S100&lt;='分位数阈值'!$D$14,2,TRUE,1)))</f>
        <v/>
      </c>
      <c r="AO100" s="23">
        <f>IF(T100="","",IF('分位数阈值'!$D$15="","",IFS(T100&lt;='分位数阈值'!$G$15,5,T100&lt;='分位数阈值'!$F$15,4,T100&lt;='分位数阈值'!$E$15,3,T100&lt;='分位数阈值'!$D$15,2,TRUE,1)))</f>
        <v/>
      </c>
      <c r="AP100" s="23">
        <f>IF(U100="","",IF(U100=1,5,1))</f>
        <v/>
      </c>
      <c r="AQ100" s="23">
        <f>IF(V100="","",V100)</f>
        <v/>
      </c>
      <c r="AR100" s="23">
        <f>IF(W100="","",IF('分位数阈值'!$D$16="","",IFS(W100&lt;='分位数阈值'!$G$16,5,W100&lt;='分位数阈值'!$F$16,4,W100&lt;='分位数阈值'!$E$16,3,W100&lt;='分位数阈值'!$D$16,2,TRUE,1)))</f>
        <v/>
      </c>
      <c r="AS100" s="23">
        <f>IF(X100="","",X100)</f>
        <v/>
      </c>
      <c r="AT100" s="23">
        <f>IF(Y100="","",Y100)</f>
        <v/>
      </c>
      <c r="AU100" s="10">
        <f>IF($A100="","",IF(OR(Z100=1,AR100=1,AJ100=1),"淘汰","通过"))</f>
        <v/>
      </c>
      <c r="AV100" s="10">
        <f>IF($A100="","",IF(OR(AA100=1,AR100=1,AND(AK100=1,AI100=1),AO100=1),"淘汰","通过"))</f>
        <v/>
      </c>
      <c r="AW100" s="24">
        <f>IF($A100="","",IF(AU100="淘汰","",ROUND(SUMPRODUCT(Z100:AT100,Z$2:AT$2)/5,1)))</f>
        <v/>
      </c>
      <c r="AX100" s="24">
        <f>IF($A100="","",IF(AV100="淘汰","",ROUND(SUMPRODUCT(Z100:AT100,Z$3:AT$3)/5,1)))</f>
        <v/>
      </c>
    </row>
    <row r="101" ht="15.75" customHeight="1" s="25">
      <c r="A101" s="22" t="n"/>
      <c r="B101" s="20" t="n"/>
      <c r="C101" s="22" t="n"/>
      <c r="D101" s="22" t="n"/>
      <c r="E101" s="22" t="n"/>
      <c r="F101" s="22" t="n"/>
      <c r="G101" s="21" t="n"/>
      <c r="H101" s="21" t="n"/>
      <c r="I101" s="21" t="n"/>
      <c r="J101" s="21" t="n"/>
      <c r="K101" s="21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3">
        <f>IF(E101="","",IF('分位数阈值'!$D$2="","",IFS(E101&gt;='分位数阈值'!$D$2,5,E101&gt;='分位数阈值'!$E$2,4,E101&gt;='分位数阈值'!$F$2,3,E101&gt;='分位数阈值'!$G$2,2,TRUE,1)))</f>
        <v/>
      </c>
      <c r="AA101" s="23">
        <f>IF(F101="","",IF('分位数阈值'!$D$3="","",IFS(F101&gt;='分位数阈值'!$D$3,5,F101&gt;='分位数阈值'!$E$3,4,F101&gt;='分位数阈值'!$F$3,3,F101&gt;='分位数阈值'!$G$3,2,TRUE,1)))</f>
        <v/>
      </c>
      <c r="AB101" s="23">
        <f>IF(G101="","",IF('分位数阈值'!$D$4="","",IFS(G101&gt;='分位数阈值'!$D$4,5,G101&gt;='分位数阈值'!$E$4,4,G101&gt;='分位数阈值'!$F$4,3,G101&gt;='分位数阈值'!$G$4,2,TRUE,1)))</f>
        <v/>
      </c>
      <c r="AC101" s="23">
        <f>IF(H101="","",IF('分位数阈值'!$D$5="","",IFS(H101&gt;='分位数阈值'!$D$5,5,H101&gt;='分位数阈值'!$E$5,4,H101&gt;='分位数阈值'!$F$5,3,H101&gt;='分位数阈值'!$G$5,2,TRUE,1)))</f>
        <v/>
      </c>
      <c r="AD101" s="23">
        <f>IF(I101="","",IF('分位数阈值'!$D$6="","",IFS(I101&gt;='分位数阈值'!$D$6,5,I101&gt;='分位数阈值'!$E$6,4,I101&gt;='分位数阈值'!$F$6,3,I101&gt;='分位数阈值'!$G$6,2,TRUE,1)))</f>
        <v/>
      </c>
      <c r="AE101" s="23">
        <f>IF(J101="","",IF('分位数阈值'!$D$7="","",IFS(J101&gt;='分位数阈值'!$D$7,5,J101&gt;='分位数阈值'!$E$7,4,J101&gt;='分位数阈值'!$F$7,3,J101&gt;='分位数阈值'!$G$7,2,TRUE,1)))</f>
        <v/>
      </c>
      <c r="AF101" s="23">
        <f>IF(K101="","",IF('分位数阈值'!$D$8="","",IFS(K101&gt;='分位数阈值'!$D$8,5,K101&gt;='分位数阈值'!$E$8,4,K101&gt;='分位数阈值'!$F$8,3,K101&gt;='分位数阈值'!$G$8,2,TRUE,1)))</f>
        <v/>
      </c>
      <c r="AG101" s="23">
        <f>IF(L101="","",IF('分位数阈值'!$D$9="","",IFS(L101&gt;='分位数阈值'!$D$9,5,L101&gt;='分位数阈值'!$E$9,4,L101&gt;='分位数阈值'!$F$9,3,L101&gt;='分位数阈值'!$G$9,2,TRUE,1)))</f>
        <v/>
      </c>
      <c r="AH101" s="23">
        <f>IF(M101="","",IF('分位数阈值'!$D$10="","",IFS(M101&lt;='分位数阈值'!$G$10,5,M101&lt;='分位数阈值'!$F$10,4,M101&lt;='分位数阈值'!$E$10,3,M101&lt;='分位数阈值'!$D$10,2,TRUE,1)))</f>
        <v/>
      </c>
      <c r="AI101" s="23">
        <f>IF(N101="","",IF('分位数阈值'!$D$11="","",IFS(N101&lt;='分位数阈值'!$G$11,5,N101&lt;='分位数阈值'!$F$11,4,N101&lt;='分位数阈值'!$E$11,3,N101&lt;='分位数阈值'!$D$11,2,TRUE,1)))</f>
        <v/>
      </c>
      <c r="AJ101" s="23">
        <f>IF(P101="","",IF(P101=1,1,5))</f>
        <v/>
      </c>
      <c r="AK101" s="23">
        <f>IF(Q101="","",IF(Q101=1,1,5))</f>
        <v/>
      </c>
      <c r="AL101" s="23">
        <f>IF(O101="","",IF('分位数阈值'!$D$12="","",IFS(O101&gt;='分位数阈值'!$D$12,5,O101&gt;='分位数阈值'!$E$12,4,O101&gt;='分位数阈值'!$F$12,3,O101&gt;='分位数阈值'!$G$12,2,TRUE,1)))</f>
        <v/>
      </c>
      <c r="AM101" s="23">
        <f>IF(R101="","",IF('分位数阈值'!$D$13="","",IFS(R101&lt;='分位数阈值'!$G$13,5,R101&lt;='分位数阈值'!$F$13,4,R101&lt;='分位数阈值'!$E$13,3,R101&lt;='分位数阈值'!$D$13,2,TRUE,1)))</f>
        <v/>
      </c>
      <c r="AN101" s="23">
        <f>IF(S101="","",IF('分位数阈值'!$D$14="","",IFS(S101&lt;='分位数阈值'!$G$14,5,S101&lt;='分位数阈值'!$F$14,4,S101&lt;='分位数阈值'!$E$14,3,S101&lt;='分位数阈值'!$D$14,2,TRUE,1)))</f>
        <v/>
      </c>
      <c r="AO101" s="23">
        <f>IF(T101="","",IF('分位数阈值'!$D$15="","",IFS(T101&lt;='分位数阈值'!$G$15,5,T101&lt;='分位数阈值'!$F$15,4,T101&lt;='分位数阈值'!$E$15,3,T101&lt;='分位数阈值'!$D$15,2,TRUE,1)))</f>
        <v/>
      </c>
      <c r="AP101" s="23">
        <f>IF(U101="","",IF(U101=1,5,1))</f>
        <v/>
      </c>
      <c r="AQ101" s="23">
        <f>IF(V101="","",V101)</f>
        <v/>
      </c>
      <c r="AR101" s="23">
        <f>IF(W101="","",IF('分位数阈值'!$D$16="","",IFS(W101&lt;='分位数阈值'!$G$16,5,W101&lt;='分位数阈值'!$F$16,4,W101&lt;='分位数阈值'!$E$16,3,W101&lt;='分位数阈值'!$D$16,2,TRUE,1)))</f>
        <v/>
      </c>
      <c r="AS101" s="23">
        <f>IF(X101="","",X101)</f>
        <v/>
      </c>
      <c r="AT101" s="23">
        <f>IF(Y101="","",Y101)</f>
        <v/>
      </c>
      <c r="AU101" s="10">
        <f>IF($A101="","",IF(OR(Z101=1,AR101=1,AJ101=1),"淘汰","通过"))</f>
        <v/>
      </c>
      <c r="AV101" s="10">
        <f>IF($A101="","",IF(OR(AA101=1,AR101=1,AND(AK101=1,AI101=1),AO101=1),"淘汰","通过"))</f>
        <v/>
      </c>
      <c r="AW101" s="24">
        <f>IF($A101="","",IF(AU101="淘汰","",ROUND(SUMPRODUCT(Z101:AT101,Z$2:AT$2)/5,1)))</f>
        <v/>
      </c>
      <c r="AX101" s="24">
        <f>IF($A101="","",IF(AV101="淘汰","",ROUND(SUMPRODUCT(Z101:AT101,Z$3:AT$3)/5,1)))</f>
        <v/>
      </c>
    </row>
    <row r="102" ht="15.75" customHeight="1" s="25">
      <c r="A102" s="22" t="n"/>
      <c r="B102" s="20" t="n"/>
      <c r="C102" s="22" t="n"/>
      <c r="D102" s="22" t="n"/>
      <c r="E102" s="22" t="n"/>
      <c r="F102" s="22" t="n"/>
      <c r="G102" s="21" t="n"/>
      <c r="H102" s="21" t="n"/>
      <c r="I102" s="21" t="n"/>
      <c r="J102" s="21" t="n"/>
      <c r="K102" s="21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3">
        <f>IF(E102="","",IF('分位数阈值'!$D$2="","",IFS(E102&gt;='分位数阈值'!$D$2,5,E102&gt;='分位数阈值'!$E$2,4,E102&gt;='分位数阈值'!$F$2,3,E102&gt;='分位数阈值'!$G$2,2,TRUE,1)))</f>
        <v/>
      </c>
      <c r="AA102" s="23">
        <f>IF(F102="","",IF('分位数阈值'!$D$3="","",IFS(F102&gt;='分位数阈值'!$D$3,5,F102&gt;='分位数阈值'!$E$3,4,F102&gt;='分位数阈值'!$F$3,3,F102&gt;='分位数阈值'!$G$3,2,TRUE,1)))</f>
        <v/>
      </c>
      <c r="AB102" s="23">
        <f>IF(G102="","",IF('分位数阈值'!$D$4="","",IFS(G102&gt;='分位数阈值'!$D$4,5,G102&gt;='分位数阈值'!$E$4,4,G102&gt;='分位数阈值'!$F$4,3,G102&gt;='分位数阈值'!$G$4,2,TRUE,1)))</f>
        <v/>
      </c>
      <c r="AC102" s="23">
        <f>IF(H102="","",IF('分位数阈值'!$D$5="","",IFS(H102&gt;='分位数阈值'!$D$5,5,H102&gt;='分位数阈值'!$E$5,4,H102&gt;='分位数阈值'!$F$5,3,H102&gt;='分位数阈值'!$G$5,2,TRUE,1)))</f>
        <v/>
      </c>
      <c r="AD102" s="23">
        <f>IF(I102="","",IF('分位数阈值'!$D$6="","",IFS(I102&gt;='分位数阈值'!$D$6,5,I102&gt;='分位数阈值'!$E$6,4,I102&gt;='分位数阈值'!$F$6,3,I102&gt;='分位数阈值'!$G$6,2,TRUE,1)))</f>
        <v/>
      </c>
      <c r="AE102" s="23">
        <f>IF(J102="","",IF('分位数阈值'!$D$7="","",IFS(J102&gt;='分位数阈值'!$D$7,5,J102&gt;='分位数阈值'!$E$7,4,J102&gt;='分位数阈值'!$F$7,3,J102&gt;='分位数阈值'!$G$7,2,TRUE,1)))</f>
        <v/>
      </c>
      <c r="AF102" s="23">
        <f>IF(K102="","",IF('分位数阈值'!$D$8="","",IFS(K102&gt;='分位数阈值'!$D$8,5,K102&gt;='分位数阈值'!$E$8,4,K102&gt;='分位数阈值'!$F$8,3,K102&gt;='分位数阈值'!$G$8,2,TRUE,1)))</f>
        <v/>
      </c>
      <c r="AG102" s="23">
        <f>IF(L102="","",IF('分位数阈值'!$D$9="","",IFS(L102&gt;='分位数阈值'!$D$9,5,L102&gt;='分位数阈值'!$E$9,4,L102&gt;='分位数阈值'!$F$9,3,L102&gt;='分位数阈值'!$G$9,2,TRUE,1)))</f>
        <v/>
      </c>
      <c r="AH102" s="23">
        <f>IF(M102="","",IF('分位数阈值'!$D$10="","",IFS(M102&lt;='分位数阈值'!$G$10,5,M102&lt;='分位数阈值'!$F$10,4,M102&lt;='分位数阈值'!$E$10,3,M102&lt;='分位数阈值'!$D$10,2,TRUE,1)))</f>
        <v/>
      </c>
      <c r="AI102" s="23">
        <f>IF(N102="","",IF('分位数阈值'!$D$11="","",IFS(N102&lt;='分位数阈值'!$G$11,5,N102&lt;='分位数阈值'!$F$11,4,N102&lt;='分位数阈值'!$E$11,3,N102&lt;='分位数阈值'!$D$11,2,TRUE,1)))</f>
        <v/>
      </c>
      <c r="AJ102" s="23">
        <f>IF(P102="","",IF(P102=1,1,5))</f>
        <v/>
      </c>
      <c r="AK102" s="23">
        <f>IF(Q102="","",IF(Q102=1,1,5))</f>
        <v/>
      </c>
      <c r="AL102" s="23">
        <f>IF(O102="","",IF('分位数阈值'!$D$12="","",IFS(O102&gt;='分位数阈值'!$D$12,5,O102&gt;='分位数阈值'!$E$12,4,O102&gt;='分位数阈值'!$F$12,3,O102&gt;='分位数阈值'!$G$12,2,TRUE,1)))</f>
        <v/>
      </c>
      <c r="AM102" s="23">
        <f>IF(R102="","",IF('分位数阈值'!$D$13="","",IFS(R102&lt;='分位数阈值'!$G$13,5,R102&lt;='分位数阈值'!$F$13,4,R102&lt;='分位数阈值'!$E$13,3,R102&lt;='分位数阈值'!$D$13,2,TRUE,1)))</f>
        <v/>
      </c>
      <c r="AN102" s="23">
        <f>IF(S102="","",IF('分位数阈值'!$D$14="","",IFS(S102&lt;='分位数阈值'!$G$14,5,S102&lt;='分位数阈值'!$F$14,4,S102&lt;='分位数阈值'!$E$14,3,S102&lt;='分位数阈值'!$D$14,2,TRUE,1)))</f>
        <v/>
      </c>
      <c r="AO102" s="23">
        <f>IF(T102="","",IF('分位数阈值'!$D$15="","",IFS(T102&lt;='分位数阈值'!$G$15,5,T102&lt;='分位数阈值'!$F$15,4,T102&lt;='分位数阈值'!$E$15,3,T102&lt;='分位数阈值'!$D$15,2,TRUE,1)))</f>
        <v/>
      </c>
      <c r="AP102" s="23">
        <f>IF(U102="","",IF(U102=1,5,1))</f>
        <v/>
      </c>
      <c r="AQ102" s="23">
        <f>IF(V102="","",V102)</f>
        <v/>
      </c>
      <c r="AR102" s="23">
        <f>IF(W102="","",IF('分位数阈值'!$D$16="","",IFS(W102&lt;='分位数阈值'!$G$16,5,W102&lt;='分位数阈值'!$F$16,4,W102&lt;='分位数阈值'!$E$16,3,W102&lt;='分位数阈值'!$D$16,2,TRUE,1)))</f>
        <v/>
      </c>
      <c r="AS102" s="23">
        <f>IF(X102="","",X102)</f>
        <v/>
      </c>
      <c r="AT102" s="23">
        <f>IF(Y102="","",Y102)</f>
        <v/>
      </c>
      <c r="AU102" s="10">
        <f>IF($A102="","",IF(OR(Z102=1,AR102=1,AJ102=1),"淘汰","通过"))</f>
        <v/>
      </c>
      <c r="AV102" s="10">
        <f>IF($A102="","",IF(OR(AA102=1,AR102=1,AND(AK102=1,AI102=1),AO102=1),"淘汰","通过"))</f>
        <v/>
      </c>
      <c r="AW102" s="24">
        <f>IF($A102="","",IF(AU102="淘汰","",ROUND(SUMPRODUCT(Z102:AT102,Z$2:AT$2)/5,1)))</f>
        <v/>
      </c>
      <c r="AX102" s="24">
        <f>IF($A102="","",IF(AV102="淘汰","",ROUND(SUMPRODUCT(Z102:AT102,Z$3:AT$3)/5,1)))</f>
        <v/>
      </c>
    </row>
    <row r="103" ht="15.75" customHeight="1" s="25">
      <c r="A103" s="22" t="n"/>
      <c r="B103" s="20" t="n"/>
      <c r="C103" s="22" t="n"/>
      <c r="D103" s="22" t="n"/>
      <c r="E103" s="22" t="n"/>
      <c r="F103" s="22" t="n"/>
      <c r="G103" s="21" t="n"/>
      <c r="H103" s="21" t="n"/>
      <c r="I103" s="21" t="n"/>
      <c r="J103" s="21" t="n"/>
      <c r="K103" s="21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3">
        <f>IF(E103="","",IF('分位数阈值'!$D$2="","",IFS(E103&gt;='分位数阈值'!$D$2,5,E103&gt;='分位数阈值'!$E$2,4,E103&gt;='分位数阈值'!$F$2,3,E103&gt;='分位数阈值'!$G$2,2,TRUE,1)))</f>
        <v/>
      </c>
      <c r="AA103" s="23">
        <f>IF(F103="","",IF('分位数阈值'!$D$3="","",IFS(F103&gt;='分位数阈值'!$D$3,5,F103&gt;='分位数阈值'!$E$3,4,F103&gt;='分位数阈值'!$F$3,3,F103&gt;='分位数阈值'!$G$3,2,TRUE,1)))</f>
        <v/>
      </c>
      <c r="AB103" s="23">
        <f>IF(G103="","",IF('分位数阈值'!$D$4="","",IFS(G103&gt;='分位数阈值'!$D$4,5,G103&gt;='分位数阈值'!$E$4,4,G103&gt;='分位数阈值'!$F$4,3,G103&gt;='分位数阈值'!$G$4,2,TRUE,1)))</f>
        <v/>
      </c>
      <c r="AC103" s="23">
        <f>IF(H103="","",IF('分位数阈值'!$D$5="","",IFS(H103&gt;='分位数阈值'!$D$5,5,H103&gt;='分位数阈值'!$E$5,4,H103&gt;='分位数阈值'!$F$5,3,H103&gt;='分位数阈值'!$G$5,2,TRUE,1)))</f>
        <v/>
      </c>
      <c r="AD103" s="23">
        <f>IF(I103="","",IF('分位数阈值'!$D$6="","",IFS(I103&gt;='分位数阈值'!$D$6,5,I103&gt;='分位数阈值'!$E$6,4,I103&gt;='分位数阈值'!$F$6,3,I103&gt;='分位数阈值'!$G$6,2,TRUE,1)))</f>
        <v/>
      </c>
      <c r="AE103" s="23">
        <f>IF(J103="","",IF('分位数阈值'!$D$7="","",IFS(J103&gt;='分位数阈值'!$D$7,5,J103&gt;='分位数阈值'!$E$7,4,J103&gt;='分位数阈值'!$F$7,3,J103&gt;='分位数阈值'!$G$7,2,TRUE,1)))</f>
        <v/>
      </c>
      <c r="AF103" s="23">
        <f>IF(K103="","",IF('分位数阈值'!$D$8="","",IFS(K103&gt;='分位数阈值'!$D$8,5,K103&gt;='分位数阈值'!$E$8,4,K103&gt;='分位数阈值'!$F$8,3,K103&gt;='分位数阈值'!$G$8,2,TRUE,1)))</f>
        <v/>
      </c>
      <c r="AG103" s="23">
        <f>IF(L103="","",IF('分位数阈值'!$D$9="","",IFS(L103&gt;='分位数阈值'!$D$9,5,L103&gt;='分位数阈值'!$E$9,4,L103&gt;='分位数阈值'!$F$9,3,L103&gt;='分位数阈值'!$G$9,2,TRUE,1)))</f>
        <v/>
      </c>
      <c r="AH103" s="23">
        <f>IF(M103="","",IF('分位数阈值'!$D$10="","",IFS(M103&lt;='分位数阈值'!$G$10,5,M103&lt;='分位数阈值'!$F$10,4,M103&lt;='分位数阈值'!$E$10,3,M103&lt;='分位数阈值'!$D$10,2,TRUE,1)))</f>
        <v/>
      </c>
      <c r="AI103" s="23">
        <f>IF(N103="","",IF('分位数阈值'!$D$11="","",IFS(N103&lt;='分位数阈值'!$G$11,5,N103&lt;='分位数阈值'!$F$11,4,N103&lt;='分位数阈值'!$E$11,3,N103&lt;='分位数阈值'!$D$11,2,TRUE,1)))</f>
        <v/>
      </c>
      <c r="AJ103" s="23">
        <f>IF(P103="","",IF(P103=1,1,5))</f>
        <v/>
      </c>
      <c r="AK103" s="23">
        <f>IF(Q103="","",IF(Q103=1,1,5))</f>
        <v/>
      </c>
      <c r="AL103" s="23">
        <f>IF(O103="","",IF('分位数阈值'!$D$12="","",IFS(O103&gt;='分位数阈值'!$D$12,5,O103&gt;='分位数阈值'!$E$12,4,O103&gt;='分位数阈值'!$F$12,3,O103&gt;='分位数阈值'!$G$12,2,TRUE,1)))</f>
        <v/>
      </c>
      <c r="AM103" s="23">
        <f>IF(R103="","",IF('分位数阈值'!$D$13="","",IFS(R103&lt;='分位数阈值'!$G$13,5,R103&lt;='分位数阈值'!$F$13,4,R103&lt;='分位数阈值'!$E$13,3,R103&lt;='分位数阈值'!$D$13,2,TRUE,1)))</f>
        <v/>
      </c>
      <c r="AN103" s="23">
        <f>IF(S103="","",IF('分位数阈值'!$D$14="","",IFS(S103&lt;='分位数阈值'!$G$14,5,S103&lt;='分位数阈值'!$F$14,4,S103&lt;='分位数阈值'!$E$14,3,S103&lt;='分位数阈值'!$D$14,2,TRUE,1)))</f>
        <v/>
      </c>
      <c r="AO103" s="23">
        <f>IF(T103="","",IF('分位数阈值'!$D$15="","",IFS(T103&lt;='分位数阈值'!$G$15,5,T103&lt;='分位数阈值'!$F$15,4,T103&lt;='分位数阈值'!$E$15,3,T103&lt;='分位数阈值'!$D$15,2,TRUE,1)))</f>
        <v/>
      </c>
      <c r="AP103" s="23">
        <f>IF(U103="","",IF(U103=1,5,1))</f>
        <v/>
      </c>
      <c r="AQ103" s="23">
        <f>IF(V103="","",V103)</f>
        <v/>
      </c>
      <c r="AR103" s="23">
        <f>IF(W103="","",IF('分位数阈值'!$D$16="","",IFS(W103&lt;='分位数阈值'!$G$16,5,W103&lt;='分位数阈值'!$F$16,4,W103&lt;='分位数阈值'!$E$16,3,W103&lt;='分位数阈值'!$D$16,2,TRUE,1)))</f>
        <v/>
      </c>
      <c r="AS103" s="23">
        <f>IF(X103="","",X103)</f>
        <v/>
      </c>
      <c r="AT103" s="23">
        <f>IF(Y103="","",Y103)</f>
        <v/>
      </c>
      <c r="AU103" s="10">
        <f>IF($A103="","",IF(OR(Z103=1,AR103=1,AJ103=1),"淘汰","通过"))</f>
        <v/>
      </c>
      <c r="AV103" s="10">
        <f>IF($A103="","",IF(OR(AA103=1,AR103=1,AND(AK103=1,AI103=1),AO103=1),"淘汰","通过"))</f>
        <v/>
      </c>
      <c r="AW103" s="24">
        <f>IF($A103="","",IF(AU103="淘汰","",ROUND(SUMPRODUCT(Z103:AT103,Z$2:AT$2)/5,1)))</f>
        <v/>
      </c>
      <c r="AX103" s="24">
        <f>IF($A103="","",IF(AV103="淘汰","",ROUND(SUMPRODUCT(Z103:AT103,Z$3:AT$3)/5,1)))</f>
        <v/>
      </c>
    </row>
    <row r="104" ht="15.75" customHeight="1" s="25">
      <c r="A104" s="22" t="n"/>
      <c r="B104" s="20" t="n"/>
      <c r="C104" s="22" t="n"/>
      <c r="D104" s="22" t="n"/>
      <c r="E104" s="22" t="n"/>
      <c r="F104" s="22" t="n"/>
      <c r="G104" s="21" t="n"/>
      <c r="H104" s="21" t="n"/>
      <c r="I104" s="21" t="n"/>
      <c r="J104" s="21" t="n"/>
      <c r="K104" s="21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3">
        <f>IF(E104="","",IF('分位数阈值'!$D$2="","",IFS(E104&gt;='分位数阈值'!$D$2,5,E104&gt;='分位数阈值'!$E$2,4,E104&gt;='分位数阈值'!$F$2,3,E104&gt;='分位数阈值'!$G$2,2,TRUE,1)))</f>
        <v/>
      </c>
      <c r="AA104" s="23">
        <f>IF(F104="","",IF('分位数阈值'!$D$3="","",IFS(F104&gt;='分位数阈值'!$D$3,5,F104&gt;='分位数阈值'!$E$3,4,F104&gt;='分位数阈值'!$F$3,3,F104&gt;='分位数阈值'!$G$3,2,TRUE,1)))</f>
        <v/>
      </c>
      <c r="AB104" s="23">
        <f>IF(G104="","",IF('分位数阈值'!$D$4="","",IFS(G104&gt;='分位数阈值'!$D$4,5,G104&gt;='分位数阈值'!$E$4,4,G104&gt;='分位数阈值'!$F$4,3,G104&gt;='分位数阈值'!$G$4,2,TRUE,1)))</f>
        <v/>
      </c>
      <c r="AC104" s="23">
        <f>IF(H104="","",IF('分位数阈值'!$D$5="","",IFS(H104&gt;='分位数阈值'!$D$5,5,H104&gt;='分位数阈值'!$E$5,4,H104&gt;='分位数阈值'!$F$5,3,H104&gt;='分位数阈值'!$G$5,2,TRUE,1)))</f>
        <v/>
      </c>
      <c r="AD104" s="23">
        <f>IF(I104="","",IF('分位数阈值'!$D$6="","",IFS(I104&gt;='分位数阈值'!$D$6,5,I104&gt;='分位数阈值'!$E$6,4,I104&gt;='分位数阈值'!$F$6,3,I104&gt;='分位数阈值'!$G$6,2,TRUE,1)))</f>
        <v/>
      </c>
      <c r="AE104" s="23">
        <f>IF(J104="","",IF('分位数阈值'!$D$7="","",IFS(J104&gt;='分位数阈值'!$D$7,5,J104&gt;='分位数阈值'!$E$7,4,J104&gt;='分位数阈值'!$F$7,3,J104&gt;='分位数阈值'!$G$7,2,TRUE,1)))</f>
        <v/>
      </c>
      <c r="AF104" s="23">
        <f>IF(K104="","",IF('分位数阈值'!$D$8="","",IFS(K104&gt;='分位数阈值'!$D$8,5,K104&gt;='分位数阈值'!$E$8,4,K104&gt;='分位数阈值'!$F$8,3,K104&gt;='分位数阈值'!$G$8,2,TRUE,1)))</f>
        <v/>
      </c>
      <c r="AG104" s="23">
        <f>IF(L104="","",IF('分位数阈值'!$D$9="","",IFS(L104&gt;='分位数阈值'!$D$9,5,L104&gt;='分位数阈值'!$E$9,4,L104&gt;='分位数阈值'!$F$9,3,L104&gt;='分位数阈值'!$G$9,2,TRUE,1)))</f>
        <v/>
      </c>
      <c r="AH104" s="23">
        <f>IF(M104="","",IF('分位数阈值'!$D$10="","",IFS(M104&lt;='分位数阈值'!$G$10,5,M104&lt;='分位数阈值'!$F$10,4,M104&lt;='分位数阈值'!$E$10,3,M104&lt;='分位数阈值'!$D$10,2,TRUE,1)))</f>
        <v/>
      </c>
      <c r="AI104" s="23">
        <f>IF(N104="","",IF('分位数阈值'!$D$11="","",IFS(N104&lt;='分位数阈值'!$G$11,5,N104&lt;='分位数阈值'!$F$11,4,N104&lt;='分位数阈值'!$E$11,3,N104&lt;='分位数阈值'!$D$11,2,TRUE,1)))</f>
        <v/>
      </c>
      <c r="AJ104" s="23">
        <f>IF(P104="","",IF(P104=1,1,5))</f>
        <v/>
      </c>
      <c r="AK104" s="23">
        <f>IF(Q104="","",IF(Q104=1,1,5))</f>
        <v/>
      </c>
      <c r="AL104" s="23">
        <f>IF(O104="","",IF('分位数阈值'!$D$12="","",IFS(O104&gt;='分位数阈值'!$D$12,5,O104&gt;='分位数阈值'!$E$12,4,O104&gt;='分位数阈值'!$F$12,3,O104&gt;='分位数阈值'!$G$12,2,TRUE,1)))</f>
        <v/>
      </c>
      <c r="AM104" s="23">
        <f>IF(R104="","",IF('分位数阈值'!$D$13="","",IFS(R104&lt;='分位数阈值'!$G$13,5,R104&lt;='分位数阈值'!$F$13,4,R104&lt;='分位数阈值'!$E$13,3,R104&lt;='分位数阈值'!$D$13,2,TRUE,1)))</f>
        <v/>
      </c>
      <c r="AN104" s="23">
        <f>IF(S104="","",IF('分位数阈值'!$D$14="","",IFS(S104&lt;='分位数阈值'!$G$14,5,S104&lt;='分位数阈值'!$F$14,4,S104&lt;='分位数阈值'!$E$14,3,S104&lt;='分位数阈值'!$D$14,2,TRUE,1)))</f>
        <v/>
      </c>
      <c r="AO104" s="23">
        <f>IF(T104="","",IF('分位数阈值'!$D$15="","",IFS(T104&lt;='分位数阈值'!$G$15,5,T104&lt;='分位数阈值'!$F$15,4,T104&lt;='分位数阈值'!$E$15,3,T104&lt;='分位数阈值'!$D$15,2,TRUE,1)))</f>
        <v/>
      </c>
      <c r="AP104" s="23">
        <f>IF(U104="","",IF(U104=1,5,1))</f>
        <v/>
      </c>
      <c r="AQ104" s="23">
        <f>IF(V104="","",V104)</f>
        <v/>
      </c>
      <c r="AR104" s="23">
        <f>IF(W104="","",IF('分位数阈值'!$D$16="","",IFS(W104&lt;='分位数阈值'!$G$16,5,W104&lt;='分位数阈值'!$F$16,4,W104&lt;='分位数阈值'!$E$16,3,W104&lt;='分位数阈值'!$D$16,2,TRUE,1)))</f>
        <v/>
      </c>
      <c r="AS104" s="23">
        <f>IF(X104="","",X104)</f>
        <v/>
      </c>
      <c r="AT104" s="23">
        <f>IF(Y104="","",Y104)</f>
        <v/>
      </c>
      <c r="AU104" s="10">
        <f>IF($A104="","",IF(OR(Z104=1,AR104=1,AJ104=1),"淘汰","通过"))</f>
        <v/>
      </c>
      <c r="AV104" s="10">
        <f>IF($A104="","",IF(OR(AA104=1,AR104=1,AND(AK104=1,AI104=1),AO104=1),"淘汰","通过"))</f>
        <v/>
      </c>
      <c r="AW104" s="24">
        <f>IF($A104="","",IF(AU104="淘汰","",ROUND(SUMPRODUCT(Z104:AT104,Z$2:AT$2)/5,1)))</f>
        <v/>
      </c>
      <c r="AX104" s="24">
        <f>IF($A104="","",IF(AV104="淘汰","",ROUND(SUMPRODUCT(Z104:AT104,Z$3:AT$3)/5,1)))</f>
        <v/>
      </c>
    </row>
    <row r="105" ht="15.75" customHeight="1" s="25">
      <c r="A105" s="22" t="n"/>
      <c r="B105" s="20" t="n"/>
      <c r="C105" s="22" t="n"/>
      <c r="D105" s="22" t="n"/>
      <c r="E105" s="22" t="n"/>
      <c r="F105" s="22" t="n"/>
      <c r="G105" s="21" t="n"/>
      <c r="H105" s="21" t="n"/>
      <c r="I105" s="21" t="n"/>
      <c r="J105" s="21" t="n"/>
      <c r="K105" s="21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3">
        <f>IF(E105="","",IF('分位数阈值'!$D$2="","",IFS(E105&gt;='分位数阈值'!$D$2,5,E105&gt;='分位数阈值'!$E$2,4,E105&gt;='分位数阈值'!$F$2,3,E105&gt;='分位数阈值'!$G$2,2,TRUE,1)))</f>
        <v/>
      </c>
      <c r="AA105" s="23">
        <f>IF(F105="","",IF('分位数阈值'!$D$3="","",IFS(F105&gt;='分位数阈值'!$D$3,5,F105&gt;='分位数阈值'!$E$3,4,F105&gt;='分位数阈值'!$F$3,3,F105&gt;='分位数阈值'!$G$3,2,TRUE,1)))</f>
        <v/>
      </c>
      <c r="AB105" s="23">
        <f>IF(G105="","",IF('分位数阈值'!$D$4="","",IFS(G105&gt;='分位数阈值'!$D$4,5,G105&gt;='分位数阈值'!$E$4,4,G105&gt;='分位数阈值'!$F$4,3,G105&gt;='分位数阈值'!$G$4,2,TRUE,1)))</f>
        <v/>
      </c>
      <c r="AC105" s="23">
        <f>IF(H105="","",IF('分位数阈值'!$D$5="","",IFS(H105&gt;='分位数阈值'!$D$5,5,H105&gt;='分位数阈值'!$E$5,4,H105&gt;='分位数阈值'!$F$5,3,H105&gt;='分位数阈值'!$G$5,2,TRUE,1)))</f>
        <v/>
      </c>
      <c r="AD105" s="23">
        <f>IF(I105="","",IF('分位数阈值'!$D$6="","",IFS(I105&gt;='分位数阈值'!$D$6,5,I105&gt;='分位数阈值'!$E$6,4,I105&gt;='分位数阈值'!$F$6,3,I105&gt;='分位数阈值'!$G$6,2,TRUE,1)))</f>
        <v/>
      </c>
      <c r="AE105" s="23">
        <f>IF(J105="","",IF('分位数阈值'!$D$7="","",IFS(J105&gt;='分位数阈值'!$D$7,5,J105&gt;='分位数阈值'!$E$7,4,J105&gt;='分位数阈值'!$F$7,3,J105&gt;='分位数阈值'!$G$7,2,TRUE,1)))</f>
        <v/>
      </c>
      <c r="AF105" s="23">
        <f>IF(K105="","",IF('分位数阈值'!$D$8="","",IFS(K105&gt;='分位数阈值'!$D$8,5,K105&gt;='分位数阈值'!$E$8,4,K105&gt;='分位数阈值'!$F$8,3,K105&gt;='分位数阈值'!$G$8,2,TRUE,1)))</f>
        <v/>
      </c>
      <c r="AG105" s="23">
        <f>IF(L105="","",IF('分位数阈值'!$D$9="","",IFS(L105&gt;='分位数阈值'!$D$9,5,L105&gt;='分位数阈值'!$E$9,4,L105&gt;='分位数阈值'!$F$9,3,L105&gt;='分位数阈值'!$G$9,2,TRUE,1)))</f>
        <v/>
      </c>
      <c r="AH105" s="23">
        <f>IF(M105="","",IF('分位数阈值'!$D$10="","",IFS(M105&lt;='分位数阈值'!$G$10,5,M105&lt;='分位数阈值'!$F$10,4,M105&lt;='分位数阈值'!$E$10,3,M105&lt;='分位数阈值'!$D$10,2,TRUE,1)))</f>
        <v/>
      </c>
      <c r="AI105" s="23">
        <f>IF(N105="","",IF('分位数阈值'!$D$11="","",IFS(N105&lt;='分位数阈值'!$G$11,5,N105&lt;='分位数阈值'!$F$11,4,N105&lt;='分位数阈值'!$E$11,3,N105&lt;='分位数阈值'!$D$11,2,TRUE,1)))</f>
        <v/>
      </c>
      <c r="AJ105" s="23">
        <f>IF(P105="","",IF(P105=1,1,5))</f>
        <v/>
      </c>
      <c r="AK105" s="23">
        <f>IF(Q105="","",IF(Q105=1,1,5))</f>
        <v/>
      </c>
      <c r="AL105" s="23">
        <f>IF(O105="","",IF('分位数阈值'!$D$12="","",IFS(O105&gt;='分位数阈值'!$D$12,5,O105&gt;='分位数阈值'!$E$12,4,O105&gt;='分位数阈值'!$F$12,3,O105&gt;='分位数阈值'!$G$12,2,TRUE,1)))</f>
        <v/>
      </c>
      <c r="AM105" s="23">
        <f>IF(R105="","",IF('分位数阈值'!$D$13="","",IFS(R105&lt;='分位数阈值'!$G$13,5,R105&lt;='分位数阈值'!$F$13,4,R105&lt;='分位数阈值'!$E$13,3,R105&lt;='分位数阈值'!$D$13,2,TRUE,1)))</f>
        <v/>
      </c>
      <c r="AN105" s="23">
        <f>IF(S105="","",IF('分位数阈值'!$D$14="","",IFS(S105&lt;='分位数阈值'!$G$14,5,S105&lt;='分位数阈值'!$F$14,4,S105&lt;='分位数阈值'!$E$14,3,S105&lt;='分位数阈值'!$D$14,2,TRUE,1)))</f>
        <v/>
      </c>
      <c r="AO105" s="23">
        <f>IF(T105="","",IF('分位数阈值'!$D$15="","",IFS(T105&lt;='分位数阈值'!$G$15,5,T105&lt;='分位数阈值'!$F$15,4,T105&lt;='分位数阈值'!$E$15,3,T105&lt;='分位数阈值'!$D$15,2,TRUE,1)))</f>
        <v/>
      </c>
      <c r="AP105" s="23">
        <f>IF(U105="","",IF(U105=1,5,1))</f>
        <v/>
      </c>
      <c r="AQ105" s="23">
        <f>IF(V105="","",V105)</f>
        <v/>
      </c>
      <c r="AR105" s="23">
        <f>IF(W105="","",IF('分位数阈值'!$D$16="","",IFS(W105&lt;='分位数阈值'!$G$16,5,W105&lt;='分位数阈值'!$F$16,4,W105&lt;='分位数阈值'!$E$16,3,W105&lt;='分位数阈值'!$D$16,2,TRUE,1)))</f>
        <v/>
      </c>
      <c r="AS105" s="23">
        <f>IF(X105="","",X105)</f>
        <v/>
      </c>
      <c r="AT105" s="23">
        <f>IF(Y105="","",Y105)</f>
        <v/>
      </c>
      <c r="AU105" s="10">
        <f>IF($A105="","",IF(OR(Z105=1,AR105=1,AJ105=1),"淘汰","通过"))</f>
        <v/>
      </c>
      <c r="AV105" s="10">
        <f>IF($A105="","",IF(OR(AA105=1,AR105=1,AND(AK105=1,AI105=1),AO105=1),"淘汰","通过"))</f>
        <v/>
      </c>
      <c r="AW105" s="24">
        <f>IF($A105="","",IF(AU105="淘汰","",ROUND(SUMPRODUCT(Z105:AT105,Z$2:AT$2)/5,1)))</f>
        <v/>
      </c>
      <c r="AX105" s="24">
        <f>IF($A105="","",IF(AV105="淘汰","",ROUND(SUMPRODUCT(Z105:AT105,Z$3:AT$3)/5,1)))</f>
        <v/>
      </c>
    </row>
    <row r="106" ht="15.75" customHeight="1" s="25">
      <c r="A106" s="22" t="n"/>
      <c r="B106" s="20" t="n"/>
      <c r="C106" s="22" t="n"/>
      <c r="D106" s="22" t="n"/>
      <c r="E106" s="22" t="n"/>
      <c r="F106" s="22" t="n"/>
      <c r="G106" s="21" t="n"/>
      <c r="H106" s="21" t="n"/>
      <c r="I106" s="21" t="n"/>
      <c r="J106" s="21" t="n"/>
      <c r="K106" s="21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3">
        <f>IF(E106="","",IF('分位数阈值'!$D$2="","",IFS(E106&gt;='分位数阈值'!$D$2,5,E106&gt;='分位数阈值'!$E$2,4,E106&gt;='分位数阈值'!$F$2,3,E106&gt;='分位数阈值'!$G$2,2,TRUE,1)))</f>
        <v/>
      </c>
      <c r="AA106" s="23">
        <f>IF(F106="","",IF('分位数阈值'!$D$3="","",IFS(F106&gt;='分位数阈值'!$D$3,5,F106&gt;='分位数阈值'!$E$3,4,F106&gt;='分位数阈值'!$F$3,3,F106&gt;='分位数阈值'!$G$3,2,TRUE,1)))</f>
        <v/>
      </c>
      <c r="AB106" s="23">
        <f>IF(G106="","",IF('分位数阈值'!$D$4="","",IFS(G106&gt;='分位数阈值'!$D$4,5,G106&gt;='分位数阈值'!$E$4,4,G106&gt;='分位数阈值'!$F$4,3,G106&gt;='分位数阈值'!$G$4,2,TRUE,1)))</f>
        <v/>
      </c>
      <c r="AC106" s="23">
        <f>IF(H106="","",IF('分位数阈值'!$D$5="","",IFS(H106&gt;='分位数阈值'!$D$5,5,H106&gt;='分位数阈值'!$E$5,4,H106&gt;='分位数阈值'!$F$5,3,H106&gt;='分位数阈值'!$G$5,2,TRUE,1)))</f>
        <v/>
      </c>
      <c r="AD106" s="23">
        <f>IF(I106="","",IF('分位数阈值'!$D$6="","",IFS(I106&gt;='分位数阈值'!$D$6,5,I106&gt;='分位数阈值'!$E$6,4,I106&gt;='分位数阈值'!$F$6,3,I106&gt;='分位数阈值'!$G$6,2,TRUE,1)))</f>
        <v/>
      </c>
      <c r="AE106" s="23">
        <f>IF(J106="","",IF('分位数阈值'!$D$7="","",IFS(J106&gt;='分位数阈值'!$D$7,5,J106&gt;='分位数阈值'!$E$7,4,J106&gt;='分位数阈值'!$F$7,3,J106&gt;='分位数阈值'!$G$7,2,TRUE,1)))</f>
        <v/>
      </c>
      <c r="AF106" s="23">
        <f>IF(K106="","",IF('分位数阈值'!$D$8="","",IFS(K106&gt;='分位数阈值'!$D$8,5,K106&gt;='分位数阈值'!$E$8,4,K106&gt;='分位数阈值'!$F$8,3,K106&gt;='分位数阈值'!$G$8,2,TRUE,1)))</f>
        <v/>
      </c>
      <c r="AG106" s="23">
        <f>IF(L106="","",IF('分位数阈值'!$D$9="","",IFS(L106&gt;='分位数阈值'!$D$9,5,L106&gt;='分位数阈值'!$E$9,4,L106&gt;='分位数阈值'!$F$9,3,L106&gt;='分位数阈值'!$G$9,2,TRUE,1)))</f>
        <v/>
      </c>
      <c r="AH106" s="23">
        <f>IF(M106="","",IF('分位数阈值'!$D$10="","",IFS(M106&lt;='分位数阈值'!$G$10,5,M106&lt;='分位数阈值'!$F$10,4,M106&lt;='分位数阈值'!$E$10,3,M106&lt;='分位数阈值'!$D$10,2,TRUE,1)))</f>
        <v/>
      </c>
      <c r="AI106" s="23">
        <f>IF(N106="","",IF('分位数阈值'!$D$11="","",IFS(N106&lt;='分位数阈值'!$G$11,5,N106&lt;='分位数阈值'!$F$11,4,N106&lt;='分位数阈值'!$E$11,3,N106&lt;='分位数阈值'!$D$11,2,TRUE,1)))</f>
        <v/>
      </c>
      <c r="AJ106" s="23">
        <f>IF(P106="","",IF(P106=1,1,5))</f>
        <v/>
      </c>
      <c r="AK106" s="23">
        <f>IF(Q106="","",IF(Q106=1,1,5))</f>
        <v/>
      </c>
      <c r="AL106" s="23">
        <f>IF(O106="","",IF('分位数阈值'!$D$12="","",IFS(O106&gt;='分位数阈值'!$D$12,5,O106&gt;='分位数阈值'!$E$12,4,O106&gt;='分位数阈值'!$F$12,3,O106&gt;='分位数阈值'!$G$12,2,TRUE,1)))</f>
        <v/>
      </c>
      <c r="AM106" s="23">
        <f>IF(R106="","",IF('分位数阈值'!$D$13="","",IFS(R106&lt;='分位数阈值'!$G$13,5,R106&lt;='分位数阈值'!$F$13,4,R106&lt;='分位数阈值'!$E$13,3,R106&lt;='分位数阈值'!$D$13,2,TRUE,1)))</f>
        <v/>
      </c>
      <c r="AN106" s="23">
        <f>IF(S106="","",IF('分位数阈值'!$D$14="","",IFS(S106&lt;='分位数阈值'!$G$14,5,S106&lt;='分位数阈值'!$F$14,4,S106&lt;='分位数阈值'!$E$14,3,S106&lt;='分位数阈值'!$D$14,2,TRUE,1)))</f>
        <v/>
      </c>
      <c r="AO106" s="23">
        <f>IF(T106="","",IF('分位数阈值'!$D$15="","",IFS(T106&lt;='分位数阈值'!$G$15,5,T106&lt;='分位数阈值'!$F$15,4,T106&lt;='分位数阈值'!$E$15,3,T106&lt;='分位数阈值'!$D$15,2,TRUE,1)))</f>
        <v/>
      </c>
      <c r="AP106" s="23">
        <f>IF(U106="","",IF(U106=1,5,1))</f>
        <v/>
      </c>
      <c r="AQ106" s="23">
        <f>IF(V106="","",V106)</f>
        <v/>
      </c>
      <c r="AR106" s="23">
        <f>IF(W106="","",IF('分位数阈值'!$D$16="","",IFS(W106&lt;='分位数阈值'!$G$16,5,W106&lt;='分位数阈值'!$F$16,4,W106&lt;='分位数阈值'!$E$16,3,W106&lt;='分位数阈值'!$D$16,2,TRUE,1)))</f>
        <v/>
      </c>
      <c r="AS106" s="23">
        <f>IF(X106="","",X106)</f>
        <v/>
      </c>
      <c r="AT106" s="23">
        <f>IF(Y106="","",Y106)</f>
        <v/>
      </c>
      <c r="AU106" s="10">
        <f>IF($A106="","",IF(OR(Z106=1,AR106=1,AJ106=1),"淘汰","通过"))</f>
        <v/>
      </c>
      <c r="AV106" s="10">
        <f>IF($A106="","",IF(OR(AA106=1,AR106=1,AND(AK106=1,AI106=1),AO106=1),"淘汰","通过"))</f>
        <v/>
      </c>
      <c r="AW106" s="24">
        <f>IF($A106="","",IF(AU106="淘汰","",ROUND(SUMPRODUCT(Z106:AT106,Z$2:AT$2)/5,1)))</f>
        <v/>
      </c>
      <c r="AX106" s="24">
        <f>IF($A106="","",IF(AV106="淘汰","",ROUND(SUMPRODUCT(Z106:AT106,Z$3:AT$3)/5,1)))</f>
        <v/>
      </c>
    </row>
    <row r="107" ht="15.75" customHeight="1" s="25">
      <c r="A107" s="22" t="n"/>
      <c r="B107" s="20" t="n"/>
      <c r="C107" s="22" t="n"/>
      <c r="D107" s="22" t="n"/>
      <c r="E107" s="22" t="n"/>
      <c r="F107" s="22" t="n"/>
      <c r="G107" s="21" t="n"/>
      <c r="H107" s="21" t="n"/>
      <c r="I107" s="21" t="n"/>
      <c r="J107" s="21" t="n"/>
      <c r="K107" s="21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3">
        <f>IF(E107="","",IF('分位数阈值'!$D$2="","",IFS(E107&gt;='分位数阈值'!$D$2,5,E107&gt;='分位数阈值'!$E$2,4,E107&gt;='分位数阈值'!$F$2,3,E107&gt;='分位数阈值'!$G$2,2,TRUE,1)))</f>
        <v/>
      </c>
      <c r="AA107" s="23">
        <f>IF(F107="","",IF('分位数阈值'!$D$3="","",IFS(F107&gt;='分位数阈值'!$D$3,5,F107&gt;='分位数阈值'!$E$3,4,F107&gt;='分位数阈值'!$F$3,3,F107&gt;='分位数阈值'!$G$3,2,TRUE,1)))</f>
        <v/>
      </c>
      <c r="AB107" s="23">
        <f>IF(G107="","",IF('分位数阈值'!$D$4="","",IFS(G107&gt;='分位数阈值'!$D$4,5,G107&gt;='分位数阈值'!$E$4,4,G107&gt;='分位数阈值'!$F$4,3,G107&gt;='分位数阈值'!$G$4,2,TRUE,1)))</f>
        <v/>
      </c>
      <c r="AC107" s="23">
        <f>IF(H107="","",IF('分位数阈值'!$D$5="","",IFS(H107&gt;='分位数阈值'!$D$5,5,H107&gt;='分位数阈值'!$E$5,4,H107&gt;='分位数阈值'!$F$5,3,H107&gt;='分位数阈值'!$G$5,2,TRUE,1)))</f>
        <v/>
      </c>
      <c r="AD107" s="23">
        <f>IF(I107="","",IF('分位数阈值'!$D$6="","",IFS(I107&gt;='分位数阈值'!$D$6,5,I107&gt;='分位数阈值'!$E$6,4,I107&gt;='分位数阈值'!$F$6,3,I107&gt;='分位数阈值'!$G$6,2,TRUE,1)))</f>
        <v/>
      </c>
      <c r="AE107" s="23">
        <f>IF(J107="","",IF('分位数阈值'!$D$7="","",IFS(J107&gt;='分位数阈值'!$D$7,5,J107&gt;='分位数阈值'!$E$7,4,J107&gt;='分位数阈值'!$F$7,3,J107&gt;='分位数阈值'!$G$7,2,TRUE,1)))</f>
        <v/>
      </c>
      <c r="AF107" s="23">
        <f>IF(K107="","",IF('分位数阈值'!$D$8="","",IFS(K107&gt;='分位数阈值'!$D$8,5,K107&gt;='分位数阈值'!$E$8,4,K107&gt;='分位数阈值'!$F$8,3,K107&gt;='分位数阈值'!$G$8,2,TRUE,1)))</f>
        <v/>
      </c>
      <c r="AG107" s="23">
        <f>IF(L107="","",IF('分位数阈值'!$D$9="","",IFS(L107&gt;='分位数阈值'!$D$9,5,L107&gt;='分位数阈值'!$E$9,4,L107&gt;='分位数阈值'!$F$9,3,L107&gt;='分位数阈值'!$G$9,2,TRUE,1)))</f>
        <v/>
      </c>
      <c r="AH107" s="23">
        <f>IF(M107="","",IF('分位数阈值'!$D$10="","",IFS(M107&lt;='分位数阈值'!$G$10,5,M107&lt;='分位数阈值'!$F$10,4,M107&lt;='分位数阈值'!$E$10,3,M107&lt;='分位数阈值'!$D$10,2,TRUE,1)))</f>
        <v/>
      </c>
      <c r="AI107" s="23">
        <f>IF(N107="","",IF('分位数阈值'!$D$11="","",IFS(N107&lt;='分位数阈值'!$G$11,5,N107&lt;='分位数阈值'!$F$11,4,N107&lt;='分位数阈值'!$E$11,3,N107&lt;='分位数阈值'!$D$11,2,TRUE,1)))</f>
        <v/>
      </c>
      <c r="AJ107" s="23">
        <f>IF(P107="","",IF(P107=1,1,5))</f>
        <v/>
      </c>
      <c r="AK107" s="23">
        <f>IF(Q107="","",IF(Q107=1,1,5))</f>
        <v/>
      </c>
      <c r="AL107" s="23">
        <f>IF(O107="","",IF('分位数阈值'!$D$12="","",IFS(O107&gt;='分位数阈值'!$D$12,5,O107&gt;='分位数阈值'!$E$12,4,O107&gt;='分位数阈值'!$F$12,3,O107&gt;='分位数阈值'!$G$12,2,TRUE,1)))</f>
        <v/>
      </c>
      <c r="AM107" s="23">
        <f>IF(R107="","",IF('分位数阈值'!$D$13="","",IFS(R107&lt;='分位数阈值'!$G$13,5,R107&lt;='分位数阈值'!$F$13,4,R107&lt;='分位数阈值'!$E$13,3,R107&lt;='分位数阈值'!$D$13,2,TRUE,1)))</f>
        <v/>
      </c>
      <c r="AN107" s="23">
        <f>IF(S107="","",IF('分位数阈值'!$D$14="","",IFS(S107&lt;='分位数阈值'!$G$14,5,S107&lt;='分位数阈值'!$F$14,4,S107&lt;='分位数阈值'!$E$14,3,S107&lt;='分位数阈值'!$D$14,2,TRUE,1)))</f>
        <v/>
      </c>
      <c r="AO107" s="23">
        <f>IF(T107="","",IF('分位数阈值'!$D$15="","",IFS(T107&lt;='分位数阈值'!$G$15,5,T107&lt;='分位数阈值'!$F$15,4,T107&lt;='分位数阈值'!$E$15,3,T107&lt;='分位数阈值'!$D$15,2,TRUE,1)))</f>
        <v/>
      </c>
      <c r="AP107" s="23">
        <f>IF(U107="","",IF(U107=1,5,1))</f>
        <v/>
      </c>
      <c r="AQ107" s="23">
        <f>IF(V107="","",V107)</f>
        <v/>
      </c>
      <c r="AR107" s="23">
        <f>IF(W107="","",IF('分位数阈值'!$D$16="","",IFS(W107&lt;='分位数阈值'!$G$16,5,W107&lt;='分位数阈值'!$F$16,4,W107&lt;='分位数阈值'!$E$16,3,W107&lt;='分位数阈值'!$D$16,2,TRUE,1)))</f>
        <v/>
      </c>
      <c r="AS107" s="23">
        <f>IF(X107="","",X107)</f>
        <v/>
      </c>
      <c r="AT107" s="23">
        <f>IF(Y107="","",Y107)</f>
        <v/>
      </c>
      <c r="AU107" s="10">
        <f>IF($A107="","",IF(OR(Z107=1,AR107=1,AJ107=1),"淘汰","通过"))</f>
        <v/>
      </c>
      <c r="AV107" s="10">
        <f>IF($A107="","",IF(OR(AA107=1,AR107=1,AND(AK107=1,AI107=1),AO107=1),"淘汰","通过"))</f>
        <v/>
      </c>
      <c r="AW107" s="24">
        <f>IF($A107="","",IF(AU107="淘汰","",ROUND(SUMPRODUCT(Z107:AT107,Z$2:AT$2)/5,1)))</f>
        <v/>
      </c>
      <c r="AX107" s="24">
        <f>IF($A107="","",IF(AV107="淘汰","",ROUND(SUMPRODUCT(Z107:AT107,Z$3:AT$3)/5,1)))</f>
        <v/>
      </c>
    </row>
    <row r="108" ht="15.75" customHeight="1" s="25">
      <c r="A108" s="22" t="n"/>
      <c r="B108" s="20" t="n"/>
      <c r="C108" s="22" t="n"/>
      <c r="D108" s="22" t="n"/>
      <c r="E108" s="22" t="n"/>
      <c r="F108" s="22" t="n"/>
      <c r="G108" s="21" t="n"/>
      <c r="H108" s="21" t="n"/>
      <c r="I108" s="21" t="n"/>
      <c r="J108" s="21" t="n"/>
      <c r="K108" s="21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3">
        <f>IF(E108="","",IF('分位数阈值'!$D$2="","",IFS(E108&gt;='分位数阈值'!$D$2,5,E108&gt;='分位数阈值'!$E$2,4,E108&gt;='分位数阈值'!$F$2,3,E108&gt;='分位数阈值'!$G$2,2,TRUE,1)))</f>
        <v/>
      </c>
      <c r="AA108" s="23">
        <f>IF(F108="","",IF('分位数阈值'!$D$3="","",IFS(F108&gt;='分位数阈值'!$D$3,5,F108&gt;='分位数阈值'!$E$3,4,F108&gt;='分位数阈值'!$F$3,3,F108&gt;='分位数阈值'!$G$3,2,TRUE,1)))</f>
        <v/>
      </c>
      <c r="AB108" s="23">
        <f>IF(G108="","",IF('分位数阈值'!$D$4="","",IFS(G108&gt;='分位数阈值'!$D$4,5,G108&gt;='分位数阈值'!$E$4,4,G108&gt;='分位数阈值'!$F$4,3,G108&gt;='分位数阈值'!$G$4,2,TRUE,1)))</f>
        <v/>
      </c>
      <c r="AC108" s="23">
        <f>IF(H108="","",IF('分位数阈值'!$D$5="","",IFS(H108&gt;='分位数阈值'!$D$5,5,H108&gt;='分位数阈值'!$E$5,4,H108&gt;='分位数阈值'!$F$5,3,H108&gt;='分位数阈值'!$G$5,2,TRUE,1)))</f>
        <v/>
      </c>
      <c r="AD108" s="23">
        <f>IF(I108="","",IF('分位数阈值'!$D$6="","",IFS(I108&gt;='分位数阈值'!$D$6,5,I108&gt;='分位数阈值'!$E$6,4,I108&gt;='分位数阈值'!$F$6,3,I108&gt;='分位数阈值'!$G$6,2,TRUE,1)))</f>
        <v/>
      </c>
      <c r="AE108" s="23">
        <f>IF(J108="","",IF('分位数阈值'!$D$7="","",IFS(J108&gt;='分位数阈值'!$D$7,5,J108&gt;='分位数阈值'!$E$7,4,J108&gt;='分位数阈值'!$F$7,3,J108&gt;='分位数阈值'!$G$7,2,TRUE,1)))</f>
        <v/>
      </c>
      <c r="AF108" s="23">
        <f>IF(K108="","",IF('分位数阈值'!$D$8="","",IFS(K108&gt;='分位数阈值'!$D$8,5,K108&gt;='分位数阈值'!$E$8,4,K108&gt;='分位数阈值'!$F$8,3,K108&gt;='分位数阈值'!$G$8,2,TRUE,1)))</f>
        <v/>
      </c>
      <c r="AG108" s="23">
        <f>IF(L108="","",IF('分位数阈值'!$D$9="","",IFS(L108&gt;='分位数阈值'!$D$9,5,L108&gt;='分位数阈值'!$E$9,4,L108&gt;='分位数阈值'!$F$9,3,L108&gt;='分位数阈值'!$G$9,2,TRUE,1)))</f>
        <v/>
      </c>
      <c r="AH108" s="23">
        <f>IF(M108="","",IF('分位数阈值'!$D$10="","",IFS(M108&lt;='分位数阈值'!$G$10,5,M108&lt;='分位数阈值'!$F$10,4,M108&lt;='分位数阈值'!$E$10,3,M108&lt;='分位数阈值'!$D$10,2,TRUE,1)))</f>
        <v/>
      </c>
      <c r="AI108" s="23">
        <f>IF(N108="","",IF('分位数阈值'!$D$11="","",IFS(N108&lt;='分位数阈值'!$G$11,5,N108&lt;='分位数阈值'!$F$11,4,N108&lt;='分位数阈值'!$E$11,3,N108&lt;='分位数阈值'!$D$11,2,TRUE,1)))</f>
        <v/>
      </c>
      <c r="AJ108" s="23">
        <f>IF(P108="","",IF(P108=1,1,5))</f>
        <v/>
      </c>
      <c r="AK108" s="23">
        <f>IF(Q108="","",IF(Q108=1,1,5))</f>
        <v/>
      </c>
      <c r="AL108" s="23">
        <f>IF(O108="","",IF('分位数阈值'!$D$12="","",IFS(O108&gt;='分位数阈值'!$D$12,5,O108&gt;='分位数阈值'!$E$12,4,O108&gt;='分位数阈值'!$F$12,3,O108&gt;='分位数阈值'!$G$12,2,TRUE,1)))</f>
        <v/>
      </c>
      <c r="AM108" s="23">
        <f>IF(R108="","",IF('分位数阈值'!$D$13="","",IFS(R108&lt;='分位数阈值'!$G$13,5,R108&lt;='分位数阈值'!$F$13,4,R108&lt;='分位数阈值'!$E$13,3,R108&lt;='分位数阈值'!$D$13,2,TRUE,1)))</f>
        <v/>
      </c>
      <c r="AN108" s="23">
        <f>IF(S108="","",IF('分位数阈值'!$D$14="","",IFS(S108&lt;='分位数阈值'!$G$14,5,S108&lt;='分位数阈值'!$F$14,4,S108&lt;='分位数阈值'!$E$14,3,S108&lt;='分位数阈值'!$D$14,2,TRUE,1)))</f>
        <v/>
      </c>
      <c r="AO108" s="23">
        <f>IF(T108="","",IF('分位数阈值'!$D$15="","",IFS(T108&lt;='分位数阈值'!$G$15,5,T108&lt;='分位数阈值'!$F$15,4,T108&lt;='分位数阈值'!$E$15,3,T108&lt;='分位数阈值'!$D$15,2,TRUE,1)))</f>
        <v/>
      </c>
      <c r="AP108" s="23">
        <f>IF(U108="","",IF(U108=1,5,1))</f>
        <v/>
      </c>
      <c r="AQ108" s="23">
        <f>IF(V108="","",V108)</f>
        <v/>
      </c>
      <c r="AR108" s="23">
        <f>IF(W108="","",IF('分位数阈值'!$D$16="","",IFS(W108&lt;='分位数阈值'!$G$16,5,W108&lt;='分位数阈值'!$F$16,4,W108&lt;='分位数阈值'!$E$16,3,W108&lt;='分位数阈值'!$D$16,2,TRUE,1)))</f>
        <v/>
      </c>
      <c r="AS108" s="23">
        <f>IF(X108="","",X108)</f>
        <v/>
      </c>
      <c r="AT108" s="23">
        <f>IF(Y108="","",Y108)</f>
        <v/>
      </c>
      <c r="AU108" s="10">
        <f>IF($A108="","",IF(OR(Z108=1,AR108=1,AJ108=1),"淘汰","通过"))</f>
        <v/>
      </c>
      <c r="AV108" s="10">
        <f>IF($A108="","",IF(OR(AA108=1,AR108=1,AND(AK108=1,AI108=1),AO108=1),"淘汰","通过"))</f>
        <v/>
      </c>
      <c r="AW108" s="24">
        <f>IF($A108="","",IF(AU108="淘汰","",ROUND(SUMPRODUCT(Z108:AT108,Z$2:AT$2)/5,1)))</f>
        <v/>
      </c>
      <c r="AX108" s="24">
        <f>IF($A108="","",IF(AV108="淘汰","",ROUND(SUMPRODUCT(Z108:AT108,Z$3:AT$3)/5,1)))</f>
        <v/>
      </c>
    </row>
    <row r="109" ht="15.75" customHeight="1" s="25">
      <c r="A109" s="22" t="n"/>
      <c r="B109" s="20" t="n"/>
      <c r="C109" s="22" t="n"/>
      <c r="D109" s="22" t="n"/>
      <c r="E109" s="22" t="n"/>
      <c r="F109" s="22" t="n"/>
      <c r="G109" s="21" t="n"/>
      <c r="H109" s="21" t="n"/>
      <c r="I109" s="21" t="n"/>
      <c r="J109" s="21" t="n"/>
      <c r="K109" s="21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3">
        <f>IF(E109="","",IF('分位数阈值'!$D$2="","",IFS(E109&gt;='分位数阈值'!$D$2,5,E109&gt;='分位数阈值'!$E$2,4,E109&gt;='分位数阈值'!$F$2,3,E109&gt;='分位数阈值'!$G$2,2,TRUE,1)))</f>
        <v/>
      </c>
      <c r="AA109" s="23">
        <f>IF(F109="","",IF('分位数阈值'!$D$3="","",IFS(F109&gt;='分位数阈值'!$D$3,5,F109&gt;='分位数阈值'!$E$3,4,F109&gt;='分位数阈值'!$F$3,3,F109&gt;='分位数阈值'!$G$3,2,TRUE,1)))</f>
        <v/>
      </c>
      <c r="AB109" s="23">
        <f>IF(G109="","",IF('分位数阈值'!$D$4="","",IFS(G109&gt;='分位数阈值'!$D$4,5,G109&gt;='分位数阈值'!$E$4,4,G109&gt;='分位数阈值'!$F$4,3,G109&gt;='分位数阈值'!$G$4,2,TRUE,1)))</f>
        <v/>
      </c>
      <c r="AC109" s="23">
        <f>IF(H109="","",IF('分位数阈值'!$D$5="","",IFS(H109&gt;='分位数阈值'!$D$5,5,H109&gt;='分位数阈值'!$E$5,4,H109&gt;='分位数阈值'!$F$5,3,H109&gt;='分位数阈值'!$G$5,2,TRUE,1)))</f>
        <v/>
      </c>
      <c r="AD109" s="23">
        <f>IF(I109="","",IF('分位数阈值'!$D$6="","",IFS(I109&gt;='分位数阈值'!$D$6,5,I109&gt;='分位数阈值'!$E$6,4,I109&gt;='分位数阈值'!$F$6,3,I109&gt;='分位数阈值'!$G$6,2,TRUE,1)))</f>
        <v/>
      </c>
      <c r="AE109" s="23">
        <f>IF(J109="","",IF('分位数阈值'!$D$7="","",IFS(J109&gt;='分位数阈值'!$D$7,5,J109&gt;='分位数阈值'!$E$7,4,J109&gt;='分位数阈值'!$F$7,3,J109&gt;='分位数阈值'!$G$7,2,TRUE,1)))</f>
        <v/>
      </c>
      <c r="AF109" s="23">
        <f>IF(K109="","",IF('分位数阈值'!$D$8="","",IFS(K109&gt;='分位数阈值'!$D$8,5,K109&gt;='分位数阈值'!$E$8,4,K109&gt;='分位数阈值'!$F$8,3,K109&gt;='分位数阈值'!$G$8,2,TRUE,1)))</f>
        <v/>
      </c>
      <c r="AG109" s="23">
        <f>IF(L109="","",IF('分位数阈值'!$D$9="","",IFS(L109&gt;='分位数阈值'!$D$9,5,L109&gt;='分位数阈值'!$E$9,4,L109&gt;='分位数阈值'!$F$9,3,L109&gt;='分位数阈值'!$G$9,2,TRUE,1)))</f>
        <v/>
      </c>
      <c r="AH109" s="23">
        <f>IF(M109="","",IF('分位数阈值'!$D$10="","",IFS(M109&lt;='分位数阈值'!$G$10,5,M109&lt;='分位数阈值'!$F$10,4,M109&lt;='分位数阈值'!$E$10,3,M109&lt;='分位数阈值'!$D$10,2,TRUE,1)))</f>
        <v/>
      </c>
      <c r="AI109" s="23">
        <f>IF(N109="","",IF('分位数阈值'!$D$11="","",IFS(N109&lt;='分位数阈值'!$G$11,5,N109&lt;='分位数阈值'!$F$11,4,N109&lt;='分位数阈值'!$E$11,3,N109&lt;='分位数阈值'!$D$11,2,TRUE,1)))</f>
        <v/>
      </c>
      <c r="AJ109" s="23">
        <f>IF(P109="","",IF(P109=1,1,5))</f>
        <v/>
      </c>
      <c r="AK109" s="23">
        <f>IF(Q109="","",IF(Q109=1,1,5))</f>
        <v/>
      </c>
      <c r="AL109" s="23">
        <f>IF(O109="","",IF('分位数阈值'!$D$12="","",IFS(O109&gt;='分位数阈值'!$D$12,5,O109&gt;='分位数阈值'!$E$12,4,O109&gt;='分位数阈值'!$F$12,3,O109&gt;='分位数阈值'!$G$12,2,TRUE,1)))</f>
        <v/>
      </c>
      <c r="AM109" s="23">
        <f>IF(R109="","",IF('分位数阈值'!$D$13="","",IFS(R109&lt;='分位数阈值'!$G$13,5,R109&lt;='分位数阈值'!$F$13,4,R109&lt;='分位数阈值'!$E$13,3,R109&lt;='分位数阈值'!$D$13,2,TRUE,1)))</f>
        <v/>
      </c>
      <c r="AN109" s="23">
        <f>IF(S109="","",IF('分位数阈值'!$D$14="","",IFS(S109&lt;='分位数阈值'!$G$14,5,S109&lt;='分位数阈值'!$F$14,4,S109&lt;='分位数阈值'!$E$14,3,S109&lt;='分位数阈值'!$D$14,2,TRUE,1)))</f>
        <v/>
      </c>
      <c r="AO109" s="23">
        <f>IF(T109="","",IF('分位数阈值'!$D$15="","",IFS(T109&lt;='分位数阈值'!$G$15,5,T109&lt;='分位数阈值'!$F$15,4,T109&lt;='分位数阈值'!$E$15,3,T109&lt;='分位数阈值'!$D$15,2,TRUE,1)))</f>
        <v/>
      </c>
      <c r="AP109" s="23">
        <f>IF(U109="","",IF(U109=1,5,1))</f>
        <v/>
      </c>
      <c r="AQ109" s="23">
        <f>IF(V109="","",V109)</f>
        <v/>
      </c>
      <c r="AR109" s="23">
        <f>IF(W109="","",IF('分位数阈值'!$D$16="","",IFS(W109&lt;='分位数阈值'!$G$16,5,W109&lt;='分位数阈值'!$F$16,4,W109&lt;='分位数阈值'!$E$16,3,W109&lt;='分位数阈值'!$D$16,2,TRUE,1)))</f>
        <v/>
      </c>
      <c r="AS109" s="23">
        <f>IF(X109="","",X109)</f>
        <v/>
      </c>
      <c r="AT109" s="23">
        <f>IF(Y109="","",Y109)</f>
        <v/>
      </c>
      <c r="AU109" s="10">
        <f>IF($A109="","",IF(OR(Z109=1,AR109=1,AJ109=1),"淘汰","通过"))</f>
        <v/>
      </c>
      <c r="AV109" s="10">
        <f>IF($A109="","",IF(OR(AA109=1,AR109=1,AND(AK109=1,AI109=1),AO109=1),"淘汰","通过"))</f>
        <v/>
      </c>
      <c r="AW109" s="24">
        <f>IF($A109="","",IF(AU109="淘汰","",ROUND(SUMPRODUCT(Z109:AT109,Z$2:AT$2)/5,1)))</f>
        <v/>
      </c>
      <c r="AX109" s="24">
        <f>IF($A109="","",IF(AV109="淘汰","",ROUND(SUMPRODUCT(Z109:AT109,Z$3:AT$3)/5,1)))</f>
        <v/>
      </c>
    </row>
    <row r="110" ht="15.75" customHeight="1" s="25">
      <c r="A110" s="22" t="n"/>
      <c r="B110" s="20" t="n"/>
      <c r="C110" s="22" t="n"/>
      <c r="D110" s="22" t="n"/>
      <c r="E110" s="22" t="n"/>
      <c r="F110" s="22" t="n"/>
      <c r="G110" s="21" t="n"/>
      <c r="H110" s="21" t="n"/>
      <c r="I110" s="21" t="n"/>
      <c r="J110" s="21" t="n"/>
      <c r="K110" s="21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3">
        <f>IF(E110="","",IF('分位数阈值'!$D$2="","",IFS(E110&gt;='分位数阈值'!$D$2,5,E110&gt;='分位数阈值'!$E$2,4,E110&gt;='分位数阈值'!$F$2,3,E110&gt;='分位数阈值'!$G$2,2,TRUE,1)))</f>
        <v/>
      </c>
      <c r="AA110" s="23">
        <f>IF(F110="","",IF('分位数阈值'!$D$3="","",IFS(F110&gt;='分位数阈值'!$D$3,5,F110&gt;='分位数阈值'!$E$3,4,F110&gt;='分位数阈值'!$F$3,3,F110&gt;='分位数阈值'!$G$3,2,TRUE,1)))</f>
        <v/>
      </c>
      <c r="AB110" s="23">
        <f>IF(G110="","",IF('分位数阈值'!$D$4="","",IFS(G110&gt;='分位数阈值'!$D$4,5,G110&gt;='分位数阈值'!$E$4,4,G110&gt;='分位数阈值'!$F$4,3,G110&gt;='分位数阈值'!$G$4,2,TRUE,1)))</f>
        <v/>
      </c>
      <c r="AC110" s="23">
        <f>IF(H110="","",IF('分位数阈值'!$D$5="","",IFS(H110&gt;='分位数阈值'!$D$5,5,H110&gt;='分位数阈值'!$E$5,4,H110&gt;='分位数阈值'!$F$5,3,H110&gt;='分位数阈值'!$G$5,2,TRUE,1)))</f>
        <v/>
      </c>
      <c r="AD110" s="23">
        <f>IF(I110="","",IF('分位数阈值'!$D$6="","",IFS(I110&gt;='分位数阈值'!$D$6,5,I110&gt;='分位数阈值'!$E$6,4,I110&gt;='分位数阈值'!$F$6,3,I110&gt;='分位数阈值'!$G$6,2,TRUE,1)))</f>
        <v/>
      </c>
      <c r="AE110" s="23">
        <f>IF(J110="","",IF('分位数阈值'!$D$7="","",IFS(J110&gt;='分位数阈值'!$D$7,5,J110&gt;='分位数阈值'!$E$7,4,J110&gt;='分位数阈值'!$F$7,3,J110&gt;='分位数阈值'!$G$7,2,TRUE,1)))</f>
        <v/>
      </c>
      <c r="AF110" s="23">
        <f>IF(K110="","",IF('分位数阈值'!$D$8="","",IFS(K110&gt;='分位数阈值'!$D$8,5,K110&gt;='分位数阈值'!$E$8,4,K110&gt;='分位数阈值'!$F$8,3,K110&gt;='分位数阈值'!$G$8,2,TRUE,1)))</f>
        <v/>
      </c>
      <c r="AG110" s="23">
        <f>IF(L110="","",IF('分位数阈值'!$D$9="","",IFS(L110&gt;='分位数阈值'!$D$9,5,L110&gt;='分位数阈值'!$E$9,4,L110&gt;='分位数阈值'!$F$9,3,L110&gt;='分位数阈值'!$G$9,2,TRUE,1)))</f>
        <v/>
      </c>
      <c r="AH110" s="23">
        <f>IF(M110="","",IF('分位数阈值'!$D$10="","",IFS(M110&lt;='分位数阈值'!$G$10,5,M110&lt;='分位数阈值'!$F$10,4,M110&lt;='分位数阈值'!$E$10,3,M110&lt;='分位数阈值'!$D$10,2,TRUE,1)))</f>
        <v/>
      </c>
      <c r="AI110" s="23">
        <f>IF(N110="","",IF('分位数阈值'!$D$11="","",IFS(N110&lt;='分位数阈值'!$G$11,5,N110&lt;='分位数阈值'!$F$11,4,N110&lt;='分位数阈值'!$E$11,3,N110&lt;='分位数阈值'!$D$11,2,TRUE,1)))</f>
        <v/>
      </c>
      <c r="AJ110" s="23">
        <f>IF(P110="","",IF(P110=1,1,5))</f>
        <v/>
      </c>
      <c r="AK110" s="23">
        <f>IF(Q110="","",IF(Q110=1,1,5))</f>
        <v/>
      </c>
      <c r="AL110" s="23">
        <f>IF(O110="","",IF('分位数阈值'!$D$12="","",IFS(O110&gt;='分位数阈值'!$D$12,5,O110&gt;='分位数阈值'!$E$12,4,O110&gt;='分位数阈值'!$F$12,3,O110&gt;='分位数阈值'!$G$12,2,TRUE,1)))</f>
        <v/>
      </c>
      <c r="AM110" s="23">
        <f>IF(R110="","",IF('分位数阈值'!$D$13="","",IFS(R110&lt;='分位数阈值'!$G$13,5,R110&lt;='分位数阈值'!$F$13,4,R110&lt;='分位数阈值'!$E$13,3,R110&lt;='分位数阈值'!$D$13,2,TRUE,1)))</f>
        <v/>
      </c>
      <c r="AN110" s="23">
        <f>IF(S110="","",IF('分位数阈值'!$D$14="","",IFS(S110&lt;='分位数阈值'!$G$14,5,S110&lt;='分位数阈值'!$F$14,4,S110&lt;='分位数阈值'!$E$14,3,S110&lt;='分位数阈值'!$D$14,2,TRUE,1)))</f>
        <v/>
      </c>
      <c r="AO110" s="23">
        <f>IF(T110="","",IF('分位数阈值'!$D$15="","",IFS(T110&lt;='分位数阈值'!$G$15,5,T110&lt;='分位数阈值'!$F$15,4,T110&lt;='分位数阈值'!$E$15,3,T110&lt;='分位数阈值'!$D$15,2,TRUE,1)))</f>
        <v/>
      </c>
      <c r="AP110" s="23">
        <f>IF(U110="","",IF(U110=1,5,1))</f>
        <v/>
      </c>
      <c r="AQ110" s="23">
        <f>IF(V110="","",V110)</f>
        <v/>
      </c>
      <c r="AR110" s="23">
        <f>IF(W110="","",IF('分位数阈值'!$D$16="","",IFS(W110&lt;='分位数阈值'!$G$16,5,W110&lt;='分位数阈值'!$F$16,4,W110&lt;='分位数阈值'!$E$16,3,W110&lt;='分位数阈值'!$D$16,2,TRUE,1)))</f>
        <v/>
      </c>
      <c r="AS110" s="23">
        <f>IF(X110="","",X110)</f>
        <v/>
      </c>
      <c r="AT110" s="23">
        <f>IF(Y110="","",Y110)</f>
        <v/>
      </c>
      <c r="AU110" s="10">
        <f>IF($A110="","",IF(OR(Z110=1,AR110=1,AJ110=1),"淘汰","通过"))</f>
        <v/>
      </c>
      <c r="AV110" s="10">
        <f>IF($A110="","",IF(OR(AA110=1,AR110=1,AND(AK110=1,AI110=1),AO110=1),"淘汰","通过"))</f>
        <v/>
      </c>
      <c r="AW110" s="24">
        <f>IF($A110="","",IF(AU110="淘汰","",ROUND(SUMPRODUCT(Z110:AT110,Z$2:AT$2)/5,1)))</f>
        <v/>
      </c>
      <c r="AX110" s="24">
        <f>IF($A110="","",IF(AV110="淘汰","",ROUND(SUMPRODUCT(Z110:AT110,Z$3:AT$3)/5,1)))</f>
        <v/>
      </c>
    </row>
    <row r="111" ht="15.75" customHeight="1" s="25">
      <c r="A111" s="22" t="n"/>
      <c r="B111" s="20" t="n"/>
      <c r="C111" s="22" t="n"/>
      <c r="D111" s="22" t="n"/>
      <c r="E111" s="22" t="n"/>
      <c r="F111" s="22" t="n"/>
      <c r="G111" s="21" t="n"/>
      <c r="H111" s="21" t="n"/>
      <c r="I111" s="21" t="n"/>
      <c r="J111" s="21" t="n"/>
      <c r="K111" s="21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3">
        <f>IF(E111="","",IF('分位数阈值'!$D$2="","",IFS(E111&gt;='分位数阈值'!$D$2,5,E111&gt;='分位数阈值'!$E$2,4,E111&gt;='分位数阈值'!$F$2,3,E111&gt;='分位数阈值'!$G$2,2,TRUE,1)))</f>
        <v/>
      </c>
      <c r="AA111" s="23">
        <f>IF(F111="","",IF('分位数阈值'!$D$3="","",IFS(F111&gt;='分位数阈值'!$D$3,5,F111&gt;='分位数阈值'!$E$3,4,F111&gt;='分位数阈值'!$F$3,3,F111&gt;='分位数阈值'!$G$3,2,TRUE,1)))</f>
        <v/>
      </c>
      <c r="AB111" s="23">
        <f>IF(G111="","",IF('分位数阈值'!$D$4="","",IFS(G111&gt;='分位数阈值'!$D$4,5,G111&gt;='分位数阈值'!$E$4,4,G111&gt;='分位数阈值'!$F$4,3,G111&gt;='分位数阈值'!$G$4,2,TRUE,1)))</f>
        <v/>
      </c>
      <c r="AC111" s="23">
        <f>IF(H111="","",IF('分位数阈值'!$D$5="","",IFS(H111&gt;='分位数阈值'!$D$5,5,H111&gt;='分位数阈值'!$E$5,4,H111&gt;='分位数阈值'!$F$5,3,H111&gt;='分位数阈值'!$G$5,2,TRUE,1)))</f>
        <v/>
      </c>
      <c r="AD111" s="23">
        <f>IF(I111="","",IF('分位数阈值'!$D$6="","",IFS(I111&gt;='分位数阈值'!$D$6,5,I111&gt;='分位数阈值'!$E$6,4,I111&gt;='分位数阈值'!$F$6,3,I111&gt;='分位数阈值'!$G$6,2,TRUE,1)))</f>
        <v/>
      </c>
      <c r="AE111" s="23">
        <f>IF(J111="","",IF('分位数阈值'!$D$7="","",IFS(J111&gt;='分位数阈值'!$D$7,5,J111&gt;='分位数阈值'!$E$7,4,J111&gt;='分位数阈值'!$F$7,3,J111&gt;='分位数阈值'!$G$7,2,TRUE,1)))</f>
        <v/>
      </c>
      <c r="AF111" s="23">
        <f>IF(K111="","",IF('分位数阈值'!$D$8="","",IFS(K111&gt;='分位数阈值'!$D$8,5,K111&gt;='分位数阈值'!$E$8,4,K111&gt;='分位数阈值'!$F$8,3,K111&gt;='分位数阈值'!$G$8,2,TRUE,1)))</f>
        <v/>
      </c>
      <c r="AG111" s="23">
        <f>IF(L111="","",IF('分位数阈值'!$D$9="","",IFS(L111&gt;='分位数阈值'!$D$9,5,L111&gt;='分位数阈值'!$E$9,4,L111&gt;='分位数阈值'!$F$9,3,L111&gt;='分位数阈值'!$G$9,2,TRUE,1)))</f>
        <v/>
      </c>
      <c r="AH111" s="23">
        <f>IF(M111="","",IF('分位数阈值'!$D$10="","",IFS(M111&lt;='分位数阈值'!$G$10,5,M111&lt;='分位数阈值'!$F$10,4,M111&lt;='分位数阈值'!$E$10,3,M111&lt;='分位数阈值'!$D$10,2,TRUE,1)))</f>
        <v/>
      </c>
      <c r="AI111" s="23">
        <f>IF(N111="","",IF('分位数阈值'!$D$11="","",IFS(N111&lt;='分位数阈值'!$G$11,5,N111&lt;='分位数阈值'!$F$11,4,N111&lt;='分位数阈值'!$E$11,3,N111&lt;='分位数阈值'!$D$11,2,TRUE,1)))</f>
        <v/>
      </c>
      <c r="AJ111" s="23">
        <f>IF(P111="","",IF(P111=1,1,5))</f>
        <v/>
      </c>
      <c r="AK111" s="23">
        <f>IF(Q111="","",IF(Q111=1,1,5))</f>
        <v/>
      </c>
      <c r="AL111" s="23">
        <f>IF(O111="","",IF('分位数阈值'!$D$12="","",IFS(O111&gt;='分位数阈值'!$D$12,5,O111&gt;='分位数阈值'!$E$12,4,O111&gt;='分位数阈值'!$F$12,3,O111&gt;='分位数阈值'!$G$12,2,TRUE,1)))</f>
        <v/>
      </c>
      <c r="AM111" s="23">
        <f>IF(R111="","",IF('分位数阈值'!$D$13="","",IFS(R111&lt;='分位数阈值'!$G$13,5,R111&lt;='分位数阈值'!$F$13,4,R111&lt;='分位数阈值'!$E$13,3,R111&lt;='分位数阈值'!$D$13,2,TRUE,1)))</f>
        <v/>
      </c>
      <c r="AN111" s="23">
        <f>IF(S111="","",IF('分位数阈值'!$D$14="","",IFS(S111&lt;='分位数阈值'!$G$14,5,S111&lt;='分位数阈值'!$F$14,4,S111&lt;='分位数阈值'!$E$14,3,S111&lt;='分位数阈值'!$D$14,2,TRUE,1)))</f>
        <v/>
      </c>
      <c r="AO111" s="23">
        <f>IF(T111="","",IF('分位数阈值'!$D$15="","",IFS(T111&lt;='分位数阈值'!$G$15,5,T111&lt;='分位数阈值'!$F$15,4,T111&lt;='分位数阈值'!$E$15,3,T111&lt;='分位数阈值'!$D$15,2,TRUE,1)))</f>
        <v/>
      </c>
      <c r="AP111" s="23">
        <f>IF(U111="","",IF(U111=1,5,1))</f>
        <v/>
      </c>
      <c r="AQ111" s="23">
        <f>IF(V111="","",V111)</f>
        <v/>
      </c>
      <c r="AR111" s="23">
        <f>IF(W111="","",IF('分位数阈值'!$D$16="","",IFS(W111&lt;='分位数阈值'!$G$16,5,W111&lt;='分位数阈值'!$F$16,4,W111&lt;='分位数阈值'!$E$16,3,W111&lt;='分位数阈值'!$D$16,2,TRUE,1)))</f>
        <v/>
      </c>
      <c r="AS111" s="23">
        <f>IF(X111="","",X111)</f>
        <v/>
      </c>
      <c r="AT111" s="23">
        <f>IF(Y111="","",Y111)</f>
        <v/>
      </c>
      <c r="AU111" s="10">
        <f>IF($A111="","",IF(OR(Z111=1,AR111=1,AJ111=1),"淘汰","通过"))</f>
        <v/>
      </c>
      <c r="AV111" s="10">
        <f>IF($A111="","",IF(OR(AA111=1,AR111=1,AND(AK111=1,AI111=1),AO111=1),"淘汰","通过"))</f>
        <v/>
      </c>
      <c r="AW111" s="24">
        <f>IF($A111="","",IF(AU111="淘汰","",ROUND(SUMPRODUCT(Z111:AT111,Z$2:AT$2)/5,1)))</f>
        <v/>
      </c>
      <c r="AX111" s="24">
        <f>IF($A111="","",IF(AV111="淘汰","",ROUND(SUMPRODUCT(Z111:AT111,Z$3:AT$3)/5,1)))</f>
        <v/>
      </c>
    </row>
    <row r="112" ht="15.75" customHeight="1" s="25">
      <c r="A112" s="22" t="n"/>
      <c r="B112" s="20" t="n"/>
      <c r="C112" s="22" t="n"/>
      <c r="D112" s="22" t="n"/>
      <c r="E112" s="22" t="n"/>
      <c r="F112" s="22" t="n"/>
      <c r="G112" s="21" t="n"/>
      <c r="H112" s="21" t="n"/>
      <c r="I112" s="21" t="n"/>
      <c r="J112" s="21" t="n"/>
      <c r="K112" s="21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3">
        <f>IF(E112="","",IF('分位数阈值'!$D$2="","",IFS(E112&gt;='分位数阈值'!$D$2,5,E112&gt;='分位数阈值'!$E$2,4,E112&gt;='分位数阈值'!$F$2,3,E112&gt;='分位数阈值'!$G$2,2,TRUE,1)))</f>
        <v/>
      </c>
      <c r="AA112" s="23">
        <f>IF(F112="","",IF('分位数阈值'!$D$3="","",IFS(F112&gt;='分位数阈值'!$D$3,5,F112&gt;='分位数阈值'!$E$3,4,F112&gt;='分位数阈值'!$F$3,3,F112&gt;='分位数阈值'!$G$3,2,TRUE,1)))</f>
        <v/>
      </c>
      <c r="AB112" s="23">
        <f>IF(G112="","",IF('分位数阈值'!$D$4="","",IFS(G112&gt;='分位数阈值'!$D$4,5,G112&gt;='分位数阈值'!$E$4,4,G112&gt;='分位数阈值'!$F$4,3,G112&gt;='分位数阈值'!$G$4,2,TRUE,1)))</f>
        <v/>
      </c>
      <c r="AC112" s="23">
        <f>IF(H112="","",IF('分位数阈值'!$D$5="","",IFS(H112&gt;='分位数阈值'!$D$5,5,H112&gt;='分位数阈值'!$E$5,4,H112&gt;='分位数阈值'!$F$5,3,H112&gt;='分位数阈值'!$G$5,2,TRUE,1)))</f>
        <v/>
      </c>
      <c r="AD112" s="23">
        <f>IF(I112="","",IF('分位数阈值'!$D$6="","",IFS(I112&gt;='分位数阈值'!$D$6,5,I112&gt;='分位数阈值'!$E$6,4,I112&gt;='分位数阈值'!$F$6,3,I112&gt;='分位数阈值'!$G$6,2,TRUE,1)))</f>
        <v/>
      </c>
      <c r="AE112" s="23">
        <f>IF(J112="","",IF('分位数阈值'!$D$7="","",IFS(J112&gt;='分位数阈值'!$D$7,5,J112&gt;='分位数阈值'!$E$7,4,J112&gt;='分位数阈值'!$F$7,3,J112&gt;='分位数阈值'!$G$7,2,TRUE,1)))</f>
        <v/>
      </c>
      <c r="AF112" s="23">
        <f>IF(K112="","",IF('分位数阈值'!$D$8="","",IFS(K112&gt;='分位数阈值'!$D$8,5,K112&gt;='分位数阈值'!$E$8,4,K112&gt;='分位数阈值'!$F$8,3,K112&gt;='分位数阈值'!$G$8,2,TRUE,1)))</f>
        <v/>
      </c>
      <c r="AG112" s="23">
        <f>IF(L112="","",IF('分位数阈值'!$D$9="","",IFS(L112&gt;='分位数阈值'!$D$9,5,L112&gt;='分位数阈值'!$E$9,4,L112&gt;='分位数阈值'!$F$9,3,L112&gt;='分位数阈值'!$G$9,2,TRUE,1)))</f>
        <v/>
      </c>
      <c r="AH112" s="23">
        <f>IF(M112="","",IF('分位数阈值'!$D$10="","",IFS(M112&lt;='分位数阈值'!$G$10,5,M112&lt;='分位数阈值'!$F$10,4,M112&lt;='分位数阈值'!$E$10,3,M112&lt;='分位数阈值'!$D$10,2,TRUE,1)))</f>
        <v/>
      </c>
      <c r="AI112" s="23">
        <f>IF(N112="","",IF('分位数阈值'!$D$11="","",IFS(N112&lt;='分位数阈值'!$G$11,5,N112&lt;='分位数阈值'!$F$11,4,N112&lt;='分位数阈值'!$E$11,3,N112&lt;='分位数阈值'!$D$11,2,TRUE,1)))</f>
        <v/>
      </c>
      <c r="AJ112" s="23">
        <f>IF(P112="","",IF(P112=1,1,5))</f>
        <v/>
      </c>
      <c r="AK112" s="23">
        <f>IF(Q112="","",IF(Q112=1,1,5))</f>
        <v/>
      </c>
      <c r="AL112" s="23">
        <f>IF(O112="","",IF('分位数阈值'!$D$12="","",IFS(O112&gt;='分位数阈值'!$D$12,5,O112&gt;='分位数阈值'!$E$12,4,O112&gt;='分位数阈值'!$F$12,3,O112&gt;='分位数阈值'!$G$12,2,TRUE,1)))</f>
        <v/>
      </c>
      <c r="AM112" s="23">
        <f>IF(R112="","",IF('分位数阈值'!$D$13="","",IFS(R112&lt;='分位数阈值'!$G$13,5,R112&lt;='分位数阈值'!$F$13,4,R112&lt;='分位数阈值'!$E$13,3,R112&lt;='分位数阈值'!$D$13,2,TRUE,1)))</f>
        <v/>
      </c>
      <c r="AN112" s="23">
        <f>IF(S112="","",IF('分位数阈值'!$D$14="","",IFS(S112&lt;='分位数阈值'!$G$14,5,S112&lt;='分位数阈值'!$F$14,4,S112&lt;='分位数阈值'!$E$14,3,S112&lt;='分位数阈值'!$D$14,2,TRUE,1)))</f>
        <v/>
      </c>
      <c r="AO112" s="23">
        <f>IF(T112="","",IF('分位数阈值'!$D$15="","",IFS(T112&lt;='分位数阈值'!$G$15,5,T112&lt;='分位数阈值'!$F$15,4,T112&lt;='分位数阈值'!$E$15,3,T112&lt;='分位数阈值'!$D$15,2,TRUE,1)))</f>
        <v/>
      </c>
      <c r="AP112" s="23">
        <f>IF(U112="","",IF(U112=1,5,1))</f>
        <v/>
      </c>
      <c r="AQ112" s="23">
        <f>IF(V112="","",V112)</f>
        <v/>
      </c>
      <c r="AR112" s="23">
        <f>IF(W112="","",IF('分位数阈值'!$D$16="","",IFS(W112&lt;='分位数阈值'!$G$16,5,W112&lt;='分位数阈值'!$F$16,4,W112&lt;='分位数阈值'!$E$16,3,W112&lt;='分位数阈值'!$D$16,2,TRUE,1)))</f>
        <v/>
      </c>
      <c r="AS112" s="23">
        <f>IF(X112="","",X112)</f>
        <v/>
      </c>
      <c r="AT112" s="23">
        <f>IF(Y112="","",Y112)</f>
        <v/>
      </c>
      <c r="AU112" s="10">
        <f>IF($A112="","",IF(OR(Z112=1,AR112=1,AJ112=1),"淘汰","通过"))</f>
        <v/>
      </c>
      <c r="AV112" s="10">
        <f>IF($A112="","",IF(OR(AA112=1,AR112=1,AND(AK112=1,AI112=1),AO112=1),"淘汰","通过"))</f>
        <v/>
      </c>
      <c r="AW112" s="24">
        <f>IF($A112="","",IF(AU112="淘汰","",ROUND(SUMPRODUCT(Z112:AT112,Z$2:AT$2)/5,1)))</f>
        <v/>
      </c>
      <c r="AX112" s="24">
        <f>IF($A112="","",IF(AV112="淘汰","",ROUND(SUMPRODUCT(Z112:AT112,Z$3:AT$3)/5,1)))</f>
        <v/>
      </c>
    </row>
    <row r="113" ht="15.75" customHeight="1" s="25">
      <c r="A113" s="22" t="n"/>
      <c r="B113" s="20" t="n"/>
      <c r="C113" s="22" t="n"/>
      <c r="D113" s="22" t="n"/>
      <c r="E113" s="22" t="n"/>
      <c r="F113" s="22" t="n"/>
      <c r="G113" s="21" t="n"/>
      <c r="H113" s="21" t="n"/>
      <c r="I113" s="21" t="n"/>
      <c r="J113" s="21" t="n"/>
      <c r="K113" s="21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3">
        <f>IF(E113="","",IF('分位数阈值'!$D$2="","",IFS(E113&gt;='分位数阈值'!$D$2,5,E113&gt;='分位数阈值'!$E$2,4,E113&gt;='分位数阈值'!$F$2,3,E113&gt;='分位数阈值'!$G$2,2,TRUE,1)))</f>
        <v/>
      </c>
      <c r="AA113" s="23">
        <f>IF(F113="","",IF('分位数阈值'!$D$3="","",IFS(F113&gt;='分位数阈值'!$D$3,5,F113&gt;='分位数阈值'!$E$3,4,F113&gt;='分位数阈值'!$F$3,3,F113&gt;='分位数阈值'!$G$3,2,TRUE,1)))</f>
        <v/>
      </c>
      <c r="AB113" s="23">
        <f>IF(G113="","",IF('分位数阈值'!$D$4="","",IFS(G113&gt;='分位数阈值'!$D$4,5,G113&gt;='分位数阈值'!$E$4,4,G113&gt;='分位数阈值'!$F$4,3,G113&gt;='分位数阈值'!$G$4,2,TRUE,1)))</f>
        <v/>
      </c>
      <c r="AC113" s="23">
        <f>IF(H113="","",IF('分位数阈值'!$D$5="","",IFS(H113&gt;='分位数阈值'!$D$5,5,H113&gt;='分位数阈值'!$E$5,4,H113&gt;='分位数阈值'!$F$5,3,H113&gt;='分位数阈值'!$G$5,2,TRUE,1)))</f>
        <v/>
      </c>
      <c r="AD113" s="23">
        <f>IF(I113="","",IF('分位数阈值'!$D$6="","",IFS(I113&gt;='分位数阈值'!$D$6,5,I113&gt;='分位数阈值'!$E$6,4,I113&gt;='分位数阈值'!$F$6,3,I113&gt;='分位数阈值'!$G$6,2,TRUE,1)))</f>
        <v/>
      </c>
      <c r="AE113" s="23">
        <f>IF(J113="","",IF('分位数阈值'!$D$7="","",IFS(J113&gt;='分位数阈值'!$D$7,5,J113&gt;='分位数阈值'!$E$7,4,J113&gt;='分位数阈值'!$F$7,3,J113&gt;='分位数阈值'!$G$7,2,TRUE,1)))</f>
        <v/>
      </c>
      <c r="AF113" s="23">
        <f>IF(K113="","",IF('分位数阈值'!$D$8="","",IFS(K113&gt;='分位数阈值'!$D$8,5,K113&gt;='分位数阈值'!$E$8,4,K113&gt;='分位数阈值'!$F$8,3,K113&gt;='分位数阈值'!$G$8,2,TRUE,1)))</f>
        <v/>
      </c>
      <c r="AG113" s="23">
        <f>IF(L113="","",IF('分位数阈值'!$D$9="","",IFS(L113&gt;='分位数阈值'!$D$9,5,L113&gt;='分位数阈值'!$E$9,4,L113&gt;='分位数阈值'!$F$9,3,L113&gt;='分位数阈值'!$G$9,2,TRUE,1)))</f>
        <v/>
      </c>
      <c r="AH113" s="23">
        <f>IF(M113="","",IF('分位数阈值'!$D$10="","",IFS(M113&lt;='分位数阈值'!$G$10,5,M113&lt;='分位数阈值'!$F$10,4,M113&lt;='分位数阈值'!$E$10,3,M113&lt;='分位数阈值'!$D$10,2,TRUE,1)))</f>
        <v/>
      </c>
      <c r="AI113" s="23">
        <f>IF(N113="","",IF('分位数阈值'!$D$11="","",IFS(N113&lt;='分位数阈值'!$G$11,5,N113&lt;='分位数阈值'!$F$11,4,N113&lt;='分位数阈值'!$E$11,3,N113&lt;='分位数阈值'!$D$11,2,TRUE,1)))</f>
        <v/>
      </c>
      <c r="AJ113" s="23">
        <f>IF(P113="","",IF(P113=1,1,5))</f>
        <v/>
      </c>
      <c r="AK113" s="23">
        <f>IF(Q113="","",IF(Q113=1,1,5))</f>
        <v/>
      </c>
      <c r="AL113" s="23">
        <f>IF(O113="","",IF('分位数阈值'!$D$12="","",IFS(O113&gt;='分位数阈值'!$D$12,5,O113&gt;='分位数阈值'!$E$12,4,O113&gt;='分位数阈值'!$F$12,3,O113&gt;='分位数阈值'!$G$12,2,TRUE,1)))</f>
        <v/>
      </c>
      <c r="AM113" s="23">
        <f>IF(R113="","",IF('分位数阈值'!$D$13="","",IFS(R113&lt;='分位数阈值'!$G$13,5,R113&lt;='分位数阈值'!$F$13,4,R113&lt;='分位数阈值'!$E$13,3,R113&lt;='分位数阈值'!$D$13,2,TRUE,1)))</f>
        <v/>
      </c>
      <c r="AN113" s="23">
        <f>IF(S113="","",IF('分位数阈值'!$D$14="","",IFS(S113&lt;='分位数阈值'!$G$14,5,S113&lt;='分位数阈值'!$F$14,4,S113&lt;='分位数阈值'!$E$14,3,S113&lt;='分位数阈值'!$D$14,2,TRUE,1)))</f>
        <v/>
      </c>
      <c r="AO113" s="23">
        <f>IF(T113="","",IF('分位数阈值'!$D$15="","",IFS(T113&lt;='分位数阈值'!$G$15,5,T113&lt;='分位数阈值'!$F$15,4,T113&lt;='分位数阈值'!$E$15,3,T113&lt;='分位数阈值'!$D$15,2,TRUE,1)))</f>
        <v/>
      </c>
      <c r="AP113" s="23">
        <f>IF(U113="","",IF(U113=1,5,1))</f>
        <v/>
      </c>
      <c r="AQ113" s="23">
        <f>IF(V113="","",V113)</f>
        <v/>
      </c>
      <c r="AR113" s="23">
        <f>IF(W113="","",IF('分位数阈值'!$D$16="","",IFS(W113&lt;='分位数阈值'!$G$16,5,W113&lt;='分位数阈值'!$F$16,4,W113&lt;='分位数阈值'!$E$16,3,W113&lt;='分位数阈值'!$D$16,2,TRUE,1)))</f>
        <v/>
      </c>
      <c r="AS113" s="23">
        <f>IF(X113="","",X113)</f>
        <v/>
      </c>
      <c r="AT113" s="23">
        <f>IF(Y113="","",Y113)</f>
        <v/>
      </c>
      <c r="AU113" s="10">
        <f>IF($A113="","",IF(OR(Z113=1,AR113=1,AJ113=1),"淘汰","通过"))</f>
        <v/>
      </c>
      <c r="AV113" s="10">
        <f>IF($A113="","",IF(OR(AA113=1,AR113=1,AND(AK113=1,AI113=1),AO113=1),"淘汰","通过"))</f>
        <v/>
      </c>
      <c r="AW113" s="24">
        <f>IF($A113="","",IF(AU113="淘汰","",ROUND(SUMPRODUCT(Z113:AT113,Z$2:AT$2)/5,1)))</f>
        <v/>
      </c>
      <c r="AX113" s="24">
        <f>IF($A113="","",IF(AV113="淘汰","",ROUND(SUMPRODUCT(Z113:AT113,Z$3:AT$3)/5,1)))</f>
        <v/>
      </c>
    </row>
    <row r="114" ht="15.75" customHeight="1" s="25">
      <c r="A114" s="22" t="n"/>
      <c r="B114" s="20" t="n"/>
      <c r="C114" s="22" t="n"/>
      <c r="D114" s="22" t="n"/>
      <c r="E114" s="22" t="n"/>
      <c r="F114" s="22" t="n"/>
      <c r="G114" s="21" t="n"/>
      <c r="H114" s="21" t="n"/>
      <c r="I114" s="21" t="n"/>
      <c r="J114" s="21" t="n"/>
      <c r="K114" s="21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3">
        <f>IF(E114="","",IF('分位数阈值'!$D$2="","",IFS(E114&gt;='分位数阈值'!$D$2,5,E114&gt;='分位数阈值'!$E$2,4,E114&gt;='分位数阈值'!$F$2,3,E114&gt;='分位数阈值'!$G$2,2,TRUE,1)))</f>
        <v/>
      </c>
      <c r="AA114" s="23">
        <f>IF(F114="","",IF('分位数阈值'!$D$3="","",IFS(F114&gt;='分位数阈值'!$D$3,5,F114&gt;='分位数阈值'!$E$3,4,F114&gt;='分位数阈值'!$F$3,3,F114&gt;='分位数阈值'!$G$3,2,TRUE,1)))</f>
        <v/>
      </c>
      <c r="AB114" s="23">
        <f>IF(G114="","",IF('分位数阈值'!$D$4="","",IFS(G114&gt;='分位数阈值'!$D$4,5,G114&gt;='分位数阈值'!$E$4,4,G114&gt;='分位数阈值'!$F$4,3,G114&gt;='分位数阈值'!$G$4,2,TRUE,1)))</f>
        <v/>
      </c>
      <c r="AC114" s="23">
        <f>IF(H114="","",IF('分位数阈值'!$D$5="","",IFS(H114&gt;='分位数阈值'!$D$5,5,H114&gt;='分位数阈值'!$E$5,4,H114&gt;='分位数阈值'!$F$5,3,H114&gt;='分位数阈值'!$G$5,2,TRUE,1)))</f>
        <v/>
      </c>
      <c r="AD114" s="23">
        <f>IF(I114="","",IF('分位数阈值'!$D$6="","",IFS(I114&gt;='分位数阈值'!$D$6,5,I114&gt;='分位数阈值'!$E$6,4,I114&gt;='分位数阈值'!$F$6,3,I114&gt;='分位数阈值'!$G$6,2,TRUE,1)))</f>
        <v/>
      </c>
      <c r="AE114" s="23">
        <f>IF(J114="","",IF('分位数阈值'!$D$7="","",IFS(J114&gt;='分位数阈值'!$D$7,5,J114&gt;='分位数阈值'!$E$7,4,J114&gt;='分位数阈值'!$F$7,3,J114&gt;='分位数阈值'!$G$7,2,TRUE,1)))</f>
        <v/>
      </c>
      <c r="AF114" s="23">
        <f>IF(K114="","",IF('分位数阈值'!$D$8="","",IFS(K114&gt;='分位数阈值'!$D$8,5,K114&gt;='分位数阈值'!$E$8,4,K114&gt;='分位数阈值'!$F$8,3,K114&gt;='分位数阈值'!$G$8,2,TRUE,1)))</f>
        <v/>
      </c>
      <c r="AG114" s="23">
        <f>IF(L114="","",IF('分位数阈值'!$D$9="","",IFS(L114&gt;='分位数阈值'!$D$9,5,L114&gt;='分位数阈值'!$E$9,4,L114&gt;='分位数阈值'!$F$9,3,L114&gt;='分位数阈值'!$G$9,2,TRUE,1)))</f>
        <v/>
      </c>
      <c r="AH114" s="23">
        <f>IF(M114="","",IF('分位数阈值'!$D$10="","",IFS(M114&lt;='分位数阈值'!$G$10,5,M114&lt;='分位数阈值'!$F$10,4,M114&lt;='分位数阈值'!$E$10,3,M114&lt;='分位数阈值'!$D$10,2,TRUE,1)))</f>
        <v/>
      </c>
      <c r="AI114" s="23">
        <f>IF(N114="","",IF('分位数阈值'!$D$11="","",IFS(N114&lt;='分位数阈值'!$G$11,5,N114&lt;='分位数阈值'!$F$11,4,N114&lt;='分位数阈值'!$E$11,3,N114&lt;='分位数阈值'!$D$11,2,TRUE,1)))</f>
        <v/>
      </c>
      <c r="AJ114" s="23">
        <f>IF(P114="","",IF(P114=1,1,5))</f>
        <v/>
      </c>
      <c r="AK114" s="23">
        <f>IF(Q114="","",IF(Q114=1,1,5))</f>
        <v/>
      </c>
      <c r="AL114" s="23">
        <f>IF(O114="","",IF('分位数阈值'!$D$12="","",IFS(O114&gt;='分位数阈值'!$D$12,5,O114&gt;='分位数阈值'!$E$12,4,O114&gt;='分位数阈值'!$F$12,3,O114&gt;='分位数阈值'!$G$12,2,TRUE,1)))</f>
        <v/>
      </c>
      <c r="AM114" s="23">
        <f>IF(R114="","",IF('分位数阈值'!$D$13="","",IFS(R114&lt;='分位数阈值'!$G$13,5,R114&lt;='分位数阈值'!$F$13,4,R114&lt;='分位数阈值'!$E$13,3,R114&lt;='分位数阈值'!$D$13,2,TRUE,1)))</f>
        <v/>
      </c>
      <c r="AN114" s="23">
        <f>IF(S114="","",IF('分位数阈值'!$D$14="","",IFS(S114&lt;='分位数阈值'!$G$14,5,S114&lt;='分位数阈值'!$F$14,4,S114&lt;='分位数阈值'!$E$14,3,S114&lt;='分位数阈值'!$D$14,2,TRUE,1)))</f>
        <v/>
      </c>
      <c r="AO114" s="23">
        <f>IF(T114="","",IF('分位数阈值'!$D$15="","",IFS(T114&lt;='分位数阈值'!$G$15,5,T114&lt;='分位数阈值'!$F$15,4,T114&lt;='分位数阈值'!$E$15,3,T114&lt;='分位数阈值'!$D$15,2,TRUE,1)))</f>
        <v/>
      </c>
      <c r="AP114" s="23">
        <f>IF(U114="","",IF(U114=1,5,1))</f>
        <v/>
      </c>
      <c r="AQ114" s="23">
        <f>IF(V114="","",V114)</f>
        <v/>
      </c>
      <c r="AR114" s="23">
        <f>IF(W114="","",IF('分位数阈值'!$D$16="","",IFS(W114&lt;='分位数阈值'!$G$16,5,W114&lt;='分位数阈值'!$F$16,4,W114&lt;='分位数阈值'!$E$16,3,W114&lt;='分位数阈值'!$D$16,2,TRUE,1)))</f>
        <v/>
      </c>
      <c r="AS114" s="23">
        <f>IF(X114="","",X114)</f>
        <v/>
      </c>
      <c r="AT114" s="23">
        <f>IF(Y114="","",Y114)</f>
        <v/>
      </c>
      <c r="AU114" s="10">
        <f>IF($A114="","",IF(OR(Z114=1,AR114=1,AJ114=1),"淘汰","通过"))</f>
        <v/>
      </c>
      <c r="AV114" s="10">
        <f>IF($A114="","",IF(OR(AA114=1,AR114=1,AND(AK114=1,AI114=1),AO114=1),"淘汰","通过"))</f>
        <v/>
      </c>
      <c r="AW114" s="24">
        <f>IF($A114="","",IF(AU114="淘汰","",ROUND(SUMPRODUCT(Z114:AT114,Z$2:AT$2)/5,1)))</f>
        <v/>
      </c>
      <c r="AX114" s="24">
        <f>IF($A114="","",IF(AV114="淘汰","",ROUND(SUMPRODUCT(Z114:AT114,Z$3:AT$3)/5,1)))</f>
        <v/>
      </c>
    </row>
    <row r="115" ht="15.75" customHeight="1" s="25">
      <c r="A115" s="22" t="n"/>
      <c r="B115" s="20" t="n"/>
      <c r="C115" s="22" t="n"/>
      <c r="D115" s="22" t="n"/>
      <c r="E115" s="22" t="n"/>
      <c r="F115" s="22" t="n"/>
      <c r="G115" s="21" t="n"/>
      <c r="H115" s="21" t="n"/>
      <c r="I115" s="21" t="n"/>
      <c r="J115" s="21" t="n"/>
      <c r="K115" s="21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3">
        <f>IF(E115="","",IF('分位数阈值'!$D$2="","",IFS(E115&gt;='分位数阈值'!$D$2,5,E115&gt;='分位数阈值'!$E$2,4,E115&gt;='分位数阈值'!$F$2,3,E115&gt;='分位数阈值'!$G$2,2,TRUE,1)))</f>
        <v/>
      </c>
      <c r="AA115" s="23">
        <f>IF(F115="","",IF('分位数阈值'!$D$3="","",IFS(F115&gt;='分位数阈值'!$D$3,5,F115&gt;='分位数阈值'!$E$3,4,F115&gt;='分位数阈值'!$F$3,3,F115&gt;='分位数阈值'!$G$3,2,TRUE,1)))</f>
        <v/>
      </c>
      <c r="AB115" s="23">
        <f>IF(G115="","",IF('分位数阈值'!$D$4="","",IFS(G115&gt;='分位数阈值'!$D$4,5,G115&gt;='分位数阈值'!$E$4,4,G115&gt;='分位数阈值'!$F$4,3,G115&gt;='分位数阈值'!$G$4,2,TRUE,1)))</f>
        <v/>
      </c>
      <c r="AC115" s="23">
        <f>IF(H115="","",IF('分位数阈值'!$D$5="","",IFS(H115&gt;='分位数阈值'!$D$5,5,H115&gt;='分位数阈值'!$E$5,4,H115&gt;='分位数阈值'!$F$5,3,H115&gt;='分位数阈值'!$G$5,2,TRUE,1)))</f>
        <v/>
      </c>
      <c r="AD115" s="23">
        <f>IF(I115="","",IF('分位数阈值'!$D$6="","",IFS(I115&gt;='分位数阈值'!$D$6,5,I115&gt;='分位数阈值'!$E$6,4,I115&gt;='分位数阈值'!$F$6,3,I115&gt;='分位数阈值'!$G$6,2,TRUE,1)))</f>
        <v/>
      </c>
      <c r="AE115" s="23">
        <f>IF(J115="","",IF('分位数阈值'!$D$7="","",IFS(J115&gt;='分位数阈值'!$D$7,5,J115&gt;='分位数阈值'!$E$7,4,J115&gt;='分位数阈值'!$F$7,3,J115&gt;='分位数阈值'!$G$7,2,TRUE,1)))</f>
        <v/>
      </c>
      <c r="AF115" s="23">
        <f>IF(K115="","",IF('分位数阈值'!$D$8="","",IFS(K115&gt;='分位数阈值'!$D$8,5,K115&gt;='分位数阈值'!$E$8,4,K115&gt;='分位数阈值'!$F$8,3,K115&gt;='分位数阈值'!$G$8,2,TRUE,1)))</f>
        <v/>
      </c>
      <c r="AG115" s="23">
        <f>IF(L115="","",IF('分位数阈值'!$D$9="","",IFS(L115&gt;='分位数阈值'!$D$9,5,L115&gt;='分位数阈值'!$E$9,4,L115&gt;='分位数阈值'!$F$9,3,L115&gt;='分位数阈值'!$G$9,2,TRUE,1)))</f>
        <v/>
      </c>
      <c r="AH115" s="23">
        <f>IF(M115="","",IF('分位数阈值'!$D$10="","",IFS(M115&lt;='分位数阈值'!$G$10,5,M115&lt;='分位数阈值'!$F$10,4,M115&lt;='分位数阈值'!$E$10,3,M115&lt;='分位数阈值'!$D$10,2,TRUE,1)))</f>
        <v/>
      </c>
      <c r="AI115" s="23">
        <f>IF(N115="","",IF('分位数阈值'!$D$11="","",IFS(N115&lt;='分位数阈值'!$G$11,5,N115&lt;='分位数阈值'!$F$11,4,N115&lt;='分位数阈值'!$E$11,3,N115&lt;='分位数阈值'!$D$11,2,TRUE,1)))</f>
        <v/>
      </c>
      <c r="AJ115" s="23">
        <f>IF(P115="","",IF(P115=1,1,5))</f>
        <v/>
      </c>
      <c r="AK115" s="23">
        <f>IF(Q115="","",IF(Q115=1,1,5))</f>
        <v/>
      </c>
      <c r="AL115" s="23">
        <f>IF(O115="","",IF('分位数阈值'!$D$12="","",IFS(O115&gt;='分位数阈值'!$D$12,5,O115&gt;='分位数阈值'!$E$12,4,O115&gt;='分位数阈值'!$F$12,3,O115&gt;='分位数阈值'!$G$12,2,TRUE,1)))</f>
        <v/>
      </c>
      <c r="AM115" s="23">
        <f>IF(R115="","",IF('分位数阈值'!$D$13="","",IFS(R115&lt;='分位数阈值'!$G$13,5,R115&lt;='分位数阈值'!$F$13,4,R115&lt;='分位数阈值'!$E$13,3,R115&lt;='分位数阈值'!$D$13,2,TRUE,1)))</f>
        <v/>
      </c>
      <c r="AN115" s="23">
        <f>IF(S115="","",IF('分位数阈值'!$D$14="","",IFS(S115&lt;='分位数阈值'!$G$14,5,S115&lt;='分位数阈值'!$F$14,4,S115&lt;='分位数阈值'!$E$14,3,S115&lt;='分位数阈值'!$D$14,2,TRUE,1)))</f>
        <v/>
      </c>
      <c r="AO115" s="23">
        <f>IF(T115="","",IF('分位数阈值'!$D$15="","",IFS(T115&lt;='分位数阈值'!$G$15,5,T115&lt;='分位数阈值'!$F$15,4,T115&lt;='分位数阈值'!$E$15,3,T115&lt;='分位数阈值'!$D$15,2,TRUE,1)))</f>
        <v/>
      </c>
      <c r="AP115" s="23">
        <f>IF(U115="","",IF(U115=1,5,1))</f>
        <v/>
      </c>
      <c r="AQ115" s="23">
        <f>IF(V115="","",V115)</f>
        <v/>
      </c>
      <c r="AR115" s="23">
        <f>IF(W115="","",IF('分位数阈值'!$D$16="","",IFS(W115&lt;='分位数阈值'!$G$16,5,W115&lt;='分位数阈值'!$F$16,4,W115&lt;='分位数阈值'!$E$16,3,W115&lt;='分位数阈值'!$D$16,2,TRUE,1)))</f>
        <v/>
      </c>
      <c r="AS115" s="23">
        <f>IF(X115="","",X115)</f>
        <v/>
      </c>
      <c r="AT115" s="23">
        <f>IF(Y115="","",Y115)</f>
        <v/>
      </c>
      <c r="AU115" s="10">
        <f>IF($A115="","",IF(OR(Z115=1,AR115=1,AJ115=1),"淘汰","通过"))</f>
        <v/>
      </c>
      <c r="AV115" s="10">
        <f>IF($A115="","",IF(OR(AA115=1,AR115=1,AND(AK115=1,AI115=1),AO115=1),"淘汰","通过"))</f>
        <v/>
      </c>
      <c r="AW115" s="24">
        <f>IF($A115="","",IF(AU115="淘汰","",ROUND(SUMPRODUCT(Z115:AT115,Z$2:AT$2)/5,1)))</f>
        <v/>
      </c>
      <c r="AX115" s="24">
        <f>IF($A115="","",IF(AV115="淘汰","",ROUND(SUMPRODUCT(Z115:AT115,Z$3:AT$3)/5,1)))</f>
        <v/>
      </c>
    </row>
    <row r="116" ht="15.75" customHeight="1" s="25">
      <c r="A116" s="22" t="n"/>
      <c r="B116" s="20" t="n"/>
      <c r="C116" s="22" t="n"/>
      <c r="D116" s="22" t="n"/>
      <c r="E116" s="22" t="n"/>
      <c r="F116" s="22" t="n"/>
      <c r="G116" s="21" t="n"/>
      <c r="H116" s="21" t="n"/>
      <c r="I116" s="21" t="n"/>
      <c r="J116" s="21" t="n"/>
      <c r="K116" s="21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3">
        <f>IF(E116="","",IF('分位数阈值'!$D$2="","",IFS(E116&gt;='分位数阈值'!$D$2,5,E116&gt;='分位数阈值'!$E$2,4,E116&gt;='分位数阈值'!$F$2,3,E116&gt;='分位数阈值'!$G$2,2,TRUE,1)))</f>
        <v/>
      </c>
      <c r="AA116" s="23">
        <f>IF(F116="","",IF('分位数阈值'!$D$3="","",IFS(F116&gt;='分位数阈值'!$D$3,5,F116&gt;='分位数阈值'!$E$3,4,F116&gt;='分位数阈值'!$F$3,3,F116&gt;='分位数阈值'!$G$3,2,TRUE,1)))</f>
        <v/>
      </c>
      <c r="AB116" s="23">
        <f>IF(G116="","",IF('分位数阈值'!$D$4="","",IFS(G116&gt;='分位数阈值'!$D$4,5,G116&gt;='分位数阈值'!$E$4,4,G116&gt;='分位数阈值'!$F$4,3,G116&gt;='分位数阈值'!$G$4,2,TRUE,1)))</f>
        <v/>
      </c>
      <c r="AC116" s="23">
        <f>IF(H116="","",IF('分位数阈值'!$D$5="","",IFS(H116&gt;='分位数阈值'!$D$5,5,H116&gt;='分位数阈值'!$E$5,4,H116&gt;='分位数阈值'!$F$5,3,H116&gt;='分位数阈值'!$G$5,2,TRUE,1)))</f>
        <v/>
      </c>
      <c r="AD116" s="23">
        <f>IF(I116="","",IF('分位数阈值'!$D$6="","",IFS(I116&gt;='分位数阈值'!$D$6,5,I116&gt;='分位数阈值'!$E$6,4,I116&gt;='分位数阈值'!$F$6,3,I116&gt;='分位数阈值'!$G$6,2,TRUE,1)))</f>
        <v/>
      </c>
      <c r="AE116" s="23">
        <f>IF(J116="","",IF('分位数阈值'!$D$7="","",IFS(J116&gt;='分位数阈值'!$D$7,5,J116&gt;='分位数阈值'!$E$7,4,J116&gt;='分位数阈值'!$F$7,3,J116&gt;='分位数阈值'!$G$7,2,TRUE,1)))</f>
        <v/>
      </c>
      <c r="AF116" s="23">
        <f>IF(K116="","",IF('分位数阈值'!$D$8="","",IFS(K116&gt;='分位数阈值'!$D$8,5,K116&gt;='分位数阈值'!$E$8,4,K116&gt;='分位数阈值'!$F$8,3,K116&gt;='分位数阈值'!$G$8,2,TRUE,1)))</f>
        <v/>
      </c>
      <c r="AG116" s="23">
        <f>IF(L116="","",IF('分位数阈值'!$D$9="","",IFS(L116&gt;='分位数阈值'!$D$9,5,L116&gt;='分位数阈值'!$E$9,4,L116&gt;='分位数阈值'!$F$9,3,L116&gt;='分位数阈值'!$G$9,2,TRUE,1)))</f>
        <v/>
      </c>
      <c r="AH116" s="23">
        <f>IF(M116="","",IF('分位数阈值'!$D$10="","",IFS(M116&lt;='分位数阈值'!$G$10,5,M116&lt;='分位数阈值'!$F$10,4,M116&lt;='分位数阈值'!$E$10,3,M116&lt;='分位数阈值'!$D$10,2,TRUE,1)))</f>
        <v/>
      </c>
      <c r="AI116" s="23">
        <f>IF(N116="","",IF('分位数阈值'!$D$11="","",IFS(N116&lt;='分位数阈值'!$G$11,5,N116&lt;='分位数阈值'!$F$11,4,N116&lt;='分位数阈值'!$E$11,3,N116&lt;='分位数阈值'!$D$11,2,TRUE,1)))</f>
        <v/>
      </c>
      <c r="AJ116" s="23">
        <f>IF(P116="","",IF(P116=1,1,5))</f>
        <v/>
      </c>
      <c r="AK116" s="23">
        <f>IF(Q116="","",IF(Q116=1,1,5))</f>
        <v/>
      </c>
      <c r="AL116" s="23">
        <f>IF(O116="","",IF('分位数阈值'!$D$12="","",IFS(O116&gt;='分位数阈值'!$D$12,5,O116&gt;='分位数阈值'!$E$12,4,O116&gt;='分位数阈值'!$F$12,3,O116&gt;='分位数阈值'!$G$12,2,TRUE,1)))</f>
        <v/>
      </c>
      <c r="AM116" s="23">
        <f>IF(R116="","",IF('分位数阈值'!$D$13="","",IFS(R116&lt;='分位数阈值'!$G$13,5,R116&lt;='分位数阈值'!$F$13,4,R116&lt;='分位数阈值'!$E$13,3,R116&lt;='分位数阈值'!$D$13,2,TRUE,1)))</f>
        <v/>
      </c>
      <c r="AN116" s="23">
        <f>IF(S116="","",IF('分位数阈值'!$D$14="","",IFS(S116&lt;='分位数阈值'!$G$14,5,S116&lt;='分位数阈值'!$F$14,4,S116&lt;='分位数阈值'!$E$14,3,S116&lt;='分位数阈值'!$D$14,2,TRUE,1)))</f>
        <v/>
      </c>
      <c r="AO116" s="23">
        <f>IF(T116="","",IF('分位数阈值'!$D$15="","",IFS(T116&lt;='分位数阈值'!$G$15,5,T116&lt;='分位数阈值'!$F$15,4,T116&lt;='分位数阈值'!$E$15,3,T116&lt;='分位数阈值'!$D$15,2,TRUE,1)))</f>
        <v/>
      </c>
      <c r="AP116" s="23">
        <f>IF(U116="","",IF(U116=1,5,1))</f>
        <v/>
      </c>
      <c r="AQ116" s="23">
        <f>IF(V116="","",V116)</f>
        <v/>
      </c>
      <c r="AR116" s="23">
        <f>IF(W116="","",IF('分位数阈值'!$D$16="","",IFS(W116&lt;='分位数阈值'!$G$16,5,W116&lt;='分位数阈值'!$F$16,4,W116&lt;='分位数阈值'!$E$16,3,W116&lt;='分位数阈值'!$D$16,2,TRUE,1)))</f>
        <v/>
      </c>
      <c r="AS116" s="23">
        <f>IF(X116="","",X116)</f>
        <v/>
      </c>
      <c r="AT116" s="23">
        <f>IF(Y116="","",Y116)</f>
        <v/>
      </c>
      <c r="AU116" s="10">
        <f>IF($A116="","",IF(OR(Z116=1,AR116=1,AJ116=1),"淘汰","通过"))</f>
        <v/>
      </c>
      <c r="AV116" s="10">
        <f>IF($A116="","",IF(OR(AA116=1,AR116=1,AND(AK116=1,AI116=1),AO116=1),"淘汰","通过"))</f>
        <v/>
      </c>
      <c r="AW116" s="24">
        <f>IF($A116="","",IF(AU116="淘汰","",ROUND(SUMPRODUCT(Z116:AT116,Z$2:AT$2)/5,1)))</f>
        <v/>
      </c>
      <c r="AX116" s="24">
        <f>IF($A116="","",IF(AV116="淘汰","",ROUND(SUMPRODUCT(Z116:AT116,Z$3:AT$3)/5,1)))</f>
        <v/>
      </c>
    </row>
    <row r="117" ht="15.75" customHeight="1" s="25">
      <c r="A117" s="22" t="n"/>
      <c r="B117" s="20" t="n"/>
      <c r="C117" s="22" t="n"/>
      <c r="D117" s="22" t="n"/>
      <c r="E117" s="22" t="n"/>
      <c r="F117" s="22" t="n"/>
      <c r="G117" s="21" t="n"/>
      <c r="H117" s="21" t="n"/>
      <c r="I117" s="21" t="n"/>
      <c r="J117" s="21" t="n"/>
      <c r="K117" s="21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3">
        <f>IF(E117="","",IF('分位数阈值'!$D$2="","",IFS(E117&gt;='分位数阈值'!$D$2,5,E117&gt;='分位数阈值'!$E$2,4,E117&gt;='分位数阈值'!$F$2,3,E117&gt;='分位数阈值'!$G$2,2,TRUE,1)))</f>
        <v/>
      </c>
      <c r="AA117" s="23">
        <f>IF(F117="","",IF('分位数阈值'!$D$3="","",IFS(F117&gt;='分位数阈值'!$D$3,5,F117&gt;='分位数阈值'!$E$3,4,F117&gt;='分位数阈值'!$F$3,3,F117&gt;='分位数阈值'!$G$3,2,TRUE,1)))</f>
        <v/>
      </c>
      <c r="AB117" s="23">
        <f>IF(G117="","",IF('分位数阈值'!$D$4="","",IFS(G117&gt;='分位数阈值'!$D$4,5,G117&gt;='分位数阈值'!$E$4,4,G117&gt;='分位数阈值'!$F$4,3,G117&gt;='分位数阈值'!$G$4,2,TRUE,1)))</f>
        <v/>
      </c>
      <c r="AC117" s="23">
        <f>IF(H117="","",IF('分位数阈值'!$D$5="","",IFS(H117&gt;='分位数阈值'!$D$5,5,H117&gt;='分位数阈值'!$E$5,4,H117&gt;='分位数阈值'!$F$5,3,H117&gt;='分位数阈值'!$G$5,2,TRUE,1)))</f>
        <v/>
      </c>
      <c r="AD117" s="23">
        <f>IF(I117="","",IF('分位数阈值'!$D$6="","",IFS(I117&gt;='分位数阈值'!$D$6,5,I117&gt;='分位数阈值'!$E$6,4,I117&gt;='分位数阈值'!$F$6,3,I117&gt;='分位数阈值'!$G$6,2,TRUE,1)))</f>
        <v/>
      </c>
      <c r="AE117" s="23">
        <f>IF(J117="","",IF('分位数阈值'!$D$7="","",IFS(J117&gt;='分位数阈值'!$D$7,5,J117&gt;='分位数阈值'!$E$7,4,J117&gt;='分位数阈值'!$F$7,3,J117&gt;='分位数阈值'!$G$7,2,TRUE,1)))</f>
        <v/>
      </c>
      <c r="AF117" s="23">
        <f>IF(K117="","",IF('分位数阈值'!$D$8="","",IFS(K117&gt;='分位数阈值'!$D$8,5,K117&gt;='分位数阈值'!$E$8,4,K117&gt;='分位数阈值'!$F$8,3,K117&gt;='分位数阈值'!$G$8,2,TRUE,1)))</f>
        <v/>
      </c>
      <c r="AG117" s="23">
        <f>IF(L117="","",IF('分位数阈值'!$D$9="","",IFS(L117&gt;='分位数阈值'!$D$9,5,L117&gt;='分位数阈值'!$E$9,4,L117&gt;='分位数阈值'!$F$9,3,L117&gt;='分位数阈值'!$G$9,2,TRUE,1)))</f>
        <v/>
      </c>
      <c r="AH117" s="23">
        <f>IF(M117="","",IF('分位数阈值'!$D$10="","",IFS(M117&lt;='分位数阈值'!$G$10,5,M117&lt;='分位数阈值'!$F$10,4,M117&lt;='分位数阈值'!$E$10,3,M117&lt;='分位数阈值'!$D$10,2,TRUE,1)))</f>
        <v/>
      </c>
      <c r="AI117" s="23">
        <f>IF(N117="","",IF('分位数阈值'!$D$11="","",IFS(N117&lt;='分位数阈值'!$G$11,5,N117&lt;='分位数阈值'!$F$11,4,N117&lt;='分位数阈值'!$E$11,3,N117&lt;='分位数阈值'!$D$11,2,TRUE,1)))</f>
        <v/>
      </c>
      <c r="AJ117" s="23">
        <f>IF(P117="","",IF(P117=1,1,5))</f>
        <v/>
      </c>
      <c r="AK117" s="23">
        <f>IF(Q117="","",IF(Q117=1,1,5))</f>
        <v/>
      </c>
      <c r="AL117" s="23">
        <f>IF(O117="","",IF('分位数阈值'!$D$12="","",IFS(O117&gt;='分位数阈值'!$D$12,5,O117&gt;='分位数阈值'!$E$12,4,O117&gt;='分位数阈值'!$F$12,3,O117&gt;='分位数阈值'!$G$12,2,TRUE,1)))</f>
        <v/>
      </c>
      <c r="AM117" s="23">
        <f>IF(R117="","",IF('分位数阈值'!$D$13="","",IFS(R117&lt;='分位数阈值'!$G$13,5,R117&lt;='分位数阈值'!$F$13,4,R117&lt;='分位数阈值'!$E$13,3,R117&lt;='分位数阈值'!$D$13,2,TRUE,1)))</f>
        <v/>
      </c>
      <c r="AN117" s="23">
        <f>IF(S117="","",IF('分位数阈值'!$D$14="","",IFS(S117&lt;='分位数阈值'!$G$14,5,S117&lt;='分位数阈值'!$F$14,4,S117&lt;='分位数阈值'!$E$14,3,S117&lt;='分位数阈值'!$D$14,2,TRUE,1)))</f>
        <v/>
      </c>
      <c r="AO117" s="23">
        <f>IF(T117="","",IF('分位数阈值'!$D$15="","",IFS(T117&lt;='分位数阈值'!$G$15,5,T117&lt;='分位数阈值'!$F$15,4,T117&lt;='分位数阈值'!$E$15,3,T117&lt;='分位数阈值'!$D$15,2,TRUE,1)))</f>
        <v/>
      </c>
      <c r="AP117" s="23">
        <f>IF(U117="","",IF(U117=1,5,1))</f>
        <v/>
      </c>
      <c r="AQ117" s="23">
        <f>IF(V117="","",V117)</f>
        <v/>
      </c>
      <c r="AR117" s="23">
        <f>IF(W117="","",IF('分位数阈值'!$D$16="","",IFS(W117&lt;='分位数阈值'!$G$16,5,W117&lt;='分位数阈值'!$F$16,4,W117&lt;='分位数阈值'!$E$16,3,W117&lt;='分位数阈值'!$D$16,2,TRUE,1)))</f>
        <v/>
      </c>
      <c r="AS117" s="23">
        <f>IF(X117="","",X117)</f>
        <v/>
      </c>
      <c r="AT117" s="23">
        <f>IF(Y117="","",Y117)</f>
        <v/>
      </c>
      <c r="AU117" s="10">
        <f>IF($A117="","",IF(OR(Z117=1,AR117=1,AJ117=1),"淘汰","通过"))</f>
        <v/>
      </c>
      <c r="AV117" s="10">
        <f>IF($A117="","",IF(OR(AA117=1,AR117=1,AND(AK117=1,AI117=1),AO117=1),"淘汰","通过"))</f>
        <v/>
      </c>
      <c r="AW117" s="24">
        <f>IF($A117="","",IF(AU117="淘汰","",ROUND(SUMPRODUCT(Z117:AT117,Z$2:AT$2)/5,1)))</f>
        <v/>
      </c>
      <c r="AX117" s="24">
        <f>IF($A117="","",IF(AV117="淘汰","",ROUND(SUMPRODUCT(Z117:AT117,Z$3:AT$3)/5,1)))</f>
        <v/>
      </c>
    </row>
    <row r="118" ht="15.75" customHeight="1" s="25">
      <c r="A118" s="22" t="n"/>
      <c r="B118" s="20" t="n"/>
      <c r="C118" s="22" t="n"/>
      <c r="D118" s="22" t="n"/>
      <c r="E118" s="22" t="n"/>
      <c r="F118" s="22" t="n"/>
      <c r="G118" s="21" t="n"/>
      <c r="H118" s="21" t="n"/>
      <c r="I118" s="21" t="n"/>
      <c r="J118" s="21" t="n"/>
      <c r="K118" s="21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3">
        <f>IF(E118="","",IF('分位数阈值'!$D$2="","",IFS(E118&gt;='分位数阈值'!$D$2,5,E118&gt;='分位数阈值'!$E$2,4,E118&gt;='分位数阈值'!$F$2,3,E118&gt;='分位数阈值'!$G$2,2,TRUE,1)))</f>
        <v/>
      </c>
      <c r="AA118" s="23">
        <f>IF(F118="","",IF('分位数阈值'!$D$3="","",IFS(F118&gt;='分位数阈值'!$D$3,5,F118&gt;='分位数阈值'!$E$3,4,F118&gt;='分位数阈值'!$F$3,3,F118&gt;='分位数阈值'!$G$3,2,TRUE,1)))</f>
        <v/>
      </c>
      <c r="AB118" s="23">
        <f>IF(G118="","",IF('分位数阈值'!$D$4="","",IFS(G118&gt;='分位数阈值'!$D$4,5,G118&gt;='分位数阈值'!$E$4,4,G118&gt;='分位数阈值'!$F$4,3,G118&gt;='分位数阈值'!$G$4,2,TRUE,1)))</f>
        <v/>
      </c>
      <c r="AC118" s="23">
        <f>IF(H118="","",IF('分位数阈值'!$D$5="","",IFS(H118&gt;='分位数阈值'!$D$5,5,H118&gt;='分位数阈值'!$E$5,4,H118&gt;='分位数阈值'!$F$5,3,H118&gt;='分位数阈值'!$G$5,2,TRUE,1)))</f>
        <v/>
      </c>
      <c r="AD118" s="23">
        <f>IF(I118="","",IF('分位数阈值'!$D$6="","",IFS(I118&gt;='分位数阈值'!$D$6,5,I118&gt;='分位数阈值'!$E$6,4,I118&gt;='分位数阈值'!$F$6,3,I118&gt;='分位数阈值'!$G$6,2,TRUE,1)))</f>
        <v/>
      </c>
      <c r="AE118" s="23">
        <f>IF(J118="","",IF('分位数阈值'!$D$7="","",IFS(J118&gt;='分位数阈值'!$D$7,5,J118&gt;='分位数阈值'!$E$7,4,J118&gt;='分位数阈值'!$F$7,3,J118&gt;='分位数阈值'!$G$7,2,TRUE,1)))</f>
        <v/>
      </c>
      <c r="AF118" s="23">
        <f>IF(K118="","",IF('分位数阈值'!$D$8="","",IFS(K118&gt;='分位数阈值'!$D$8,5,K118&gt;='分位数阈值'!$E$8,4,K118&gt;='分位数阈值'!$F$8,3,K118&gt;='分位数阈值'!$G$8,2,TRUE,1)))</f>
        <v/>
      </c>
      <c r="AG118" s="23">
        <f>IF(L118="","",IF('分位数阈值'!$D$9="","",IFS(L118&gt;='分位数阈值'!$D$9,5,L118&gt;='分位数阈值'!$E$9,4,L118&gt;='分位数阈值'!$F$9,3,L118&gt;='分位数阈值'!$G$9,2,TRUE,1)))</f>
        <v/>
      </c>
      <c r="AH118" s="23">
        <f>IF(M118="","",IF('分位数阈值'!$D$10="","",IFS(M118&lt;='分位数阈值'!$G$10,5,M118&lt;='分位数阈值'!$F$10,4,M118&lt;='分位数阈值'!$E$10,3,M118&lt;='分位数阈值'!$D$10,2,TRUE,1)))</f>
        <v/>
      </c>
      <c r="AI118" s="23">
        <f>IF(N118="","",IF('分位数阈值'!$D$11="","",IFS(N118&lt;='分位数阈值'!$G$11,5,N118&lt;='分位数阈值'!$F$11,4,N118&lt;='分位数阈值'!$E$11,3,N118&lt;='分位数阈值'!$D$11,2,TRUE,1)))</f>
        <v/>
      </c>
      <c r="AJ118" s="23">
        <f>IF(P118="","",IF(P118=1,1,5))</f>
        <v/>
      </c>
      <c r="AK118" s="23">
        <f>IF(Q118="","",IF(Q118=1,1,5))</f>
        <v/>
      </c>
      <c r="AL118" s="23">
        <f>IF(O118="","",IF('分位数阈值'!$D$12="","",IFS(O118&gt;='分位数阈值'!$D$12,5,O118&gt;='分位数阈值'!$E$12,4,O118&gt;='分位数阈值'!$F$12,3,O118&gt;='分位数阈值'!$G$12,2,TRUE,1)))</f>
        <v/>
      </c>
      <c r="AM118" s="23">
        <f>IF(R118="","",IF('分位数阈值'!$D$13="","",IFS(R118&lt;='分位数阈值'!$G$13,5,R118&lt;='分位数阈值'!$F$13,4,R118&lt;='分位数阈值'!$E$13,3,R118&lt;='分位数阈值'!$D$13,2,TRUE,1)))</f>
        <v/>
      </c>
      <c r="AN118" s="23">
        <f>IF(S118="","",IF('分位数阈值'!$D$14="","",IFS(S118&lt;='分位数阈值'!$G$14,5,S118&lt;='分位数阈值'!$F$14,4,S118&lt;='分位数阈值'!$E$14,3,S118&lt;='分位数阈值'!$D$14,2,TRUE,1)))</f>
        <v/>
      </c>
      <c r="AO118" s="23">
        <f>IF(T118="","",IF('分位数阈值'!$D$15="","",IFS(T118&lt;='分位数阈值'!$G$15,5,T118&lt;='分位数阈值'!$F$15,4,T118&lt;='分位数阈值'!$E$15,3,T118&lt;='分位数阈值'!$D$15,2,TRUE,1)))</f>
        <v/>
      </c>
      <c r="AP118" s="23">
        <f>IF(U118="","",IF(U118=1,5,1))</f>
        <v/>
      </c>
      <c r="AQ118" s="23">
        <f>IF(V118="","",V118)</f>
        <v/>
      </c>
      <c r="AR118" s="23">
        <f>IF(W118="","",IF('分位数阈值'!$D$16="","",IFS(W118&lt;='分位数阈值'!$G$16,5,W118&lt;='分位数阈值'!$F$16,4,W118&lt;='分位数阈值'!$E$16,3,W118&lt;='分位数阈值'!$D$16,2,TRUE,1)))</f>
        <v/>
      </c>
      <c r="AS118" s="23">
        <f>IF(X118="","",X118)</f>
        <v/>
      </c>
      <c r="AT118" s="23">
        <f>IF(Y118="","",Y118)</f>
        <v/>
      </c>
      <c r="AU118" s="10">
        <f>IF($A118="","",IF(OR(Z118=1,AR118=1,AJ118=1),"淘汰","通过"))</f>
        <v/>
      </c>
      <c r="AV118" s="10">
        <f>IF($A118="","",IF(OR(AA118=1,AR118=1,AND(AK118=1,AI118=1),AO118=1),"淘汰","通过"))</f>
        <v/>
      </c>
      <c r="AW118" s="24">
        <f>IF($A118="","",IF(AU118="淘汰","",ROUND(SUMPRODUCT(Z118:AT118,Z$2:AT$2)/5,1)))</f>
        <v/>
      </c>
      <c r="AX118" s="24">
        <f>IF($A118="","",IF(AV118="淘汰","",ROUND(SUMPRODUCT(Z118:AT118,Z$3:AT$3)/5,1)))</f>
        <v/>
      </c>
    </row>
    <row r="119" ht="15.75" customHeight="1" s="25">
      <c r="A119" s="22" t="n"/>
      <c r="B119" s="20" t="n"/>
      <c r="C119" s="22" t="n"/>
      <c r="D119" s="22" t="n"/>
      <c r="E119" s="22" t="n"/>
      <c r="F119" s="22" t="n"/>
      <c r="G119" s="21" t="n"/>
      <c r="H119" s="21" t="n"/>
      <c r="I119" s="21" t="n"/>
      <c r="J119" s="21" t="n"/>
      <c r="K119" s="21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3">
        <f>IF(E119="","",IF('分位数阈值'!$D$2="","",IFS(E119&gt;='分位数阈值'!$D$2,5,E119&gt;='分位数阈值'!$E$2,4,E119&gt;='分位数阈值'!$F$2,3,E119&gt;='分位数阈值'!$G$2,2,TRUE,1)))</f>
        <v/>
      </c>
      <c r="AA119" s="23">
        <f>IF(F119="","",IF('分位数阈值'!$D$3="","",IFS(F119&gt;='分位数阈值'!$D$3,5,F119&gt;='分位数阈值'!$E$3,4,F119&gt;='分位数阈值'!$F$3,3,F119&gt;='分位数阈值'!$G$3,2,TRUE,1)))</f>
        <v/>
      </c>
      <c r="AB119" s="23">
        <f>IF(G119="","",IF('分位数阈值'!$D$4="","",IFS(G119&gt;='分位数阈值'!$D$4,5,G119&gt;='分位数阈值'!$E$4,4,G119&gt;='分位数阈值'!$F$4,3,G119&gt;='分位数阈值'!$G$4,2,TRUE,1)))</f>
        <v/>
      </c>
      <c r="AC119" s="23">
        <f>IF(H119="","",IF('分位数阈值'!$D$5="","",IFS(H119&gt;='分位数阈值'!$D$5,5,H119&gt;='分位数阈值'!$E$5,4,H119&gt;='分位数阈值'!$F$5,3,H119&gt;='分位数阈值'!$G$5,2,TRUE,1)))</f>
        <v/>
      </c>
      <c r="AD119" s="23">
        <f>IF(I119="","",IF('分位数阈值'!$D$6="","",IFS(I119&gt;='分位数阈值'!$D$6,5,I119&gt;='分位数阈值'!$E$6,4,I119&gt;='分位数阈值'!$F$6,3,I119&gt;='分位数阈值'!$G$6,2,TRUE,1)))</f>
        <v/>
      </c>
      <c r="AE119" s="23">
        <f>IF(J119="","",IF('分位数阈值'!$D$7="","",IFS(J119&gt;='分位数阈值'!$D$7,5,J119&gt;='分位数阈值'!$E$7,4,J119&gt;='分位数阈值'!$F$7,3,J119&gt;='分位数阈值'!$G$7,2,TRUE,1)))</f>
        <v/>
      </c>
      <c r="AF119" s="23">
        <f>IF(K119="","",IF('分位数阈值'!$D$8="","",IFS(K119&gt;='分位数阈值'!$D$8,5,K119&gt;='分位数阈值'!$E$8,4,K119&gt;='分位数阈值'!$F$8,3,K119&gt;='分位数阈值'!$G$8,2,TRUE,1)))</f>
        <v/>
      </c>
      <c r="AG119" s="23">
        <f>IF(L119="","",IF('分位数阈值'!$D$9="","",IFS(L119&gt;='分位数阈值'!$D$9,5,L119&gt;='分位数阈值'!$E$9,4,L119&gt;='分位数阈值'!$F$9,3,L119&gt;='分位数阈值'!$G$9,2,TRUE,1)))</f>
        <v/>
      </c>
      <c r="AH119" s="23">
        <f>IF(M119="","",IF('分位数阈值'!$D$10="","",IFS(M119&lt;='分位数阈值'!$G$10,5,M119&lt;='分位数阈值'!$F$10,4,M119&lt;='分位数阈值'!$E$10,3,M119&lt;='分位数阈值'!$D$10,2,TRUE,1)))</f>
        <v/>
      </c>
      <c r="AI119" s="23">
        <f>IF(N119="","",IF('分位数阈值'!$D$11="","",IFS(N119&lt;='分位数阈值'!$G$11,5,N119&lt;='分位数阈值'!$F$11,4,N119&lt;='分位数阈值'!$E$11,3,N119&lt;='分位数阈值'!$D$11,2,TRUE,1)))</f>
        <v/>
      </c>
      <c r="AJ119" s="23">
        <f>IF(P119="","",IF(P119=1,1,5))</f>
        <v/>
      </c>
      <c r="AK119" s="23">
        <f>IF(Q119="","",IF(Q119=1,1,5))</f>
        <v/>
      </c>
      <c r="AL119" s="23">
        <f>IF(O119="","",IF('分位数阈值'!$D$12="","",IFS(O119&gt;='分位数阈值'!$D$12,5,O119&gt;='分位数阈值'!$E$12,4,O119&gt;='分位数阈值'!$F$12,3,O119&gt;='分位数阈值'!$G$12,2,TRUE,1)))</f>
        <v/>
      </c>
      <c r="AM119" s="23">
        <f>IF(R119="","",IF('分位数阈值'!$D$13="","",IFS(R119&lt;='分位数阈值'!$G$13,5,R119&lt;='分位数阈值'!$F$13,4,R119&lt;='分位数阈值'!$E$13,3,R119&lt;='分位数阈值'!$D$13,2,TRUE,1)))</f>
        <v/>
      </c>
      <c r="AN119" s="23">
        <f>IF(S119="","",IF('分位数阈值'!$D$14="","",IFS(S119&lt;='分位数阈值'!$G$14,5,S119&lt;='分位数阈值'!$F$14,4,S119&lt;='分位数阈值'!$E$14,3,S119&lt;='分位数阈值'!$D$14,2,TRUE,1)))</f>
        <v/>
      </c>
      <c r="AO119" s="23">
        <f>IF(T119="","",IF('分位数阈值'!$D$15="","",IFS(T119&lt;='分位数阈值'!$G$15,5,T119&lt;='分位数阈值'!$F$15,4,T119&lt;='分位数阈值'!$E$15,3,T119&lt;='分位数阈值'!$D$15,2,TRUE,1)))</f>
        <v/>
      </c>
      <c r="AP119" s="23">
        <f>IF(U119="","",IF(U119=1,5,1))</f>
        <v/>
      </c>
      <c r="AQ119" s="23">
        <f>IF(V119="","",V119)</f>
        <v/>
      </c>
      <c r="AR119" s="23">
        <f>IF(W119="","",IF('分位数阈值'!$D$16="","",IFS(W119&lt;='分位数阈值'!$G$16,5,W119&lt;='分位数阈值'!$F$16,4,W119&lt;='分位数阈值'!$E$16,3,W119&lt;='分位数阈值'!$D$16,2,TRUE,1)))</f>
        <v/>
      </c>
      <c r="AS119" s="23">
        <f>IF(X119="","",X119)</f>
        <v/>
      </c>
      <c r="AT119" s="23">
        <f>IF(Y119="","",Y119)</f>
        <v/>
      </c>
      <c r="AU119" s="10">
        <f>IF($A119="","",IF(OR(Z119=1,AR119=1,AJ119=1),"淘汰","通过"))</f>
        <v/>
      </c>
      <c r="AV119" s="10">
        <f>IF($A119="","",IF(OR(AA119=1,AR119=1,AND(AK119=1,AI119=1),AO119=1),"淘汰","通过"))</f>
        <v/>
      </c>
      <c r="AW119" s="24">
        <f>IF($A119="","",IF(AU119="淘汰","",ROUND(SUMPRODUCT(Z119:AT119,Z$2:AT$2)/5,1)))</f>
        <v/>
      </c>
      <c r="AX119" s="24">
        <f>IF($A119="","",IF(AV119="淘汰","",ROUND(SUMPRODUCT(Z119:AT119,Z$3:AT$3)/5,1)))</f>
        <v/>
      </c>
    </row>
    <row r="120" ht="15.75" customHeight="1" s="25">
      <c r="A120" s="22" t="n"/>
      <c r="B120" s="20" t="n"/>
      <c r="C120" s="22" t="n"/>
      <c r="D120" s="22" t="n"/>
      <c r="E120" s="22" t="n"/>
      <c r="F120" s="22" t="n"/>
      <c r="G120" s="21" t="n"/>
      <c r="H120" s="21" t="n"/>
      <c r="I120" s="21" t="n"/>
      <c r="J120" s="21" t="n"/>
      <c r="K120" s="21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3">
        <f>IF(E120="","",IF('分位数阈值'!$D$2="","",IFS(E120&gt;='分位数阈值'!$D$2,5,E120&gt;='分位数阈值'!$E$2,4,E120&gt;='分位数阈值'!$F$2,3,E120&gt;='分位数阈值'!$G$2,2,TRUE,1)))</f>
        <v/>
      </c>
      <c r="AA120" s="23">
        <f>IF(F120="","",IF('分位数阈值'!$D$3="","",IFS(F120&gt;='分位数阈值'!$D$3,5,F120&gt;='分位数阈值'!$E$3,4,F120&gt;='分位数阈值'!$F$3,3,F120&gt;='分位数阈值'!$G$3,2,TRUE,1)))</f>
        <v/>
      </c>
      <c r="AB120" s="23">
        <f>IF(G120="","",IF('分位数阈值'!$D$4="","",IFS(G120&gt;='分位数阈值'!$D$4,5,G120&gt;='分位数阈值'!$E$4,4,G120&gt;='分位数阈值'!$F$4,3,G120&gt;='分位数阈值'!$G$4,2,TRUE,1)))</f>
        <v/>
      </c>
      <c r="AC120" s="23">
        <f>IF(H120="","",IF('分位数阈值'!$D$5="","",IFS(H120&gt;='分位数阈值'!$D$5,5,H120&gt;='分位数阈值'!$E$5,4,H120&gt;='分位数阈值'!$F$5,3,H120&gt;='分位数阈值'!$G$5,2,TRUE,1)))</f>
        <v/>
      </c>
      <c r="AD120" s="23">
        <f>IF(I120="","",IF('分位数阈值'!$D$6="","",IFS(I120&gt;='分位数阈值'!$D$6,5,I120&gt;='分位数阈值'!$E$6,4,I120&gt;='分位数阈值'!$F$6,3,I120&gt;='分位数阈值'!$G$6,2,TRUE,1)))</f>
        <v/>
      </c>
      <c r="AE120" s="23">
        <f>IF(J120="","",IF('分位数阈值'!$D$7="","",IFS(J120&gt;='分位数阈值'!$D$7,5,J120&gt;='分位数阈值'!$E$7,4,J120&gt;='分位数阈值'!$F$7,3,J120&gt;='分位数阈值'!$G$7,2,TRUE,1)))</f>
        <v/>
      </c>
      <c r="AF120" s="23">
        <f>IF(K120="","",IF('分位数阈值'!$D$8="","",IFS(K120&gt;='分位数阈值'!$D$8,5,K120&gt;='分位数阈值'!$E$8,4,K120&gt;='分位数阈值'!$F$8,3,K120&gt;='分位数阈值'!$G$8,2,TRUE,1)))</f>
        <v/>
      </c>
      <c r="AG120" s="23">
        <f>IF(L120="","",IF('分位数阈值'!$D$9="","",IFS(L120&gt;='分位数阈值'!$D$9,5,L120&gt;='分位数阈值'!$E$9,4,L120&gt;='分位数阈值'!$F$9,3,L120&gt;='分位数阈值'!$G$9,2,TRUE,1)))</f>
        <v/>
      </c>
      <c r="AH120" s="23">
        <f>IF(M120="","",IF('分位数阈值'!$D$10="","",IFS(M120&lt;='分位数阈值'!$G$10,5,M120&lt;='分位数阈值'!$F$10,4,M120&lt;='分位数阈值'!$E$10,3,M120&lt;='分位数阈值'!$D$10,2,TRUE,1)))</f>
        <v/>
      </c>
      <c r="AI120" s="23">
        <f>IF(N120="","",IF('分位数阈值'!$D$11="","",IFS(N120&lt;='分位数阈值'!$G$11,5,N120&lt;='分位数阈值'!$F$11,4,N120&lt;='分位数阈值'!$E$11,3,N120&lt;='分位数阈值'!$D$11,2,TRUE,1)))</f>
        <v/>
      </c>
      <c r="AJ120" s="23">
        <f>IF(P120="","",IF(P120=1,1,5))</f>
        <v/>
      </c>
      <c r="AK120" s="23">
        <f>IF(Q120="","",IF(Q120=1,1,5))</f>
        <v/>
      </c>
      <c r="AL120" s="23">
        <f>IF(O120="","",IF('分位数阈值'!$D$12="","",IFS(O120&gt;='分位数阈值'!$D$12,5,O120&gt;='分位数阈值'!$E$12,4,O120&gt;='分位数阈值'!$F$12,3,O120&gt;='分位数阈值'!$G$12,2,TRUE,1)))</f>
        <v/>
      </c>
      <c r="AM120" s="23">
        <f>IF(R120="","",IF('分位数阈值'!$D$13="","",IFS(R120&lt;='分位数阈值'!$G$13,5,R120&lt;='分位数阈值'!$F$13,4,R120&lt;='分位数阈值'!$E$13,3,R120&lt;='分位数阈值'!$D$13,2,TRUE,1)))</f>
        <v/>
      </c>
      <c r="AN120" s="23">
        <f>IF(S120="","",IF('分位数阈值'!$D$14="","",IFS(S120&lt;='分位数阈值'!$G$14,5,S120&lt;='分位数阈值'!$F$14,4,S120&lt;='分位数阈值'!$E$14,3,S120&lt;='分位数阈值'!$D$14,2,TRUE,1)))</f>
        <v/>
      </c>
      <c r="AO120" s="23">
        <f>IF(T120="","",IF('分位数阈值'!$D$15="","",IFS(T120&lt;='分位数阈值'!$G$15,5,T120&lt;='分位数阈值'!$F$15,4,T120&lt;='分位数阈值'!$E$15,3,T120&lt;='分位数阈值'!$D$15,2,TRUE,1)))</f>
        <v/>
      </c>
      <c r="AP120" s="23">
        <f>IF(U120="","",IF(U120=1,5,1))</f>
        <v/>
      </c>
      <c r="AQ120" s="23">
        <f>IF(V120="","",V120)</f>
        <v/>
      </c>
      <c r="AR120" s="23">
        <f>IF(W120="","",IF('分位数阈值'!$D$16="","",IFS(W120&lt;='分位数阈值'!$G$16,5,W120&lt;='分位数阈值'!$F$16,4,W120&lt;='分位数阈值'!$E$16,3,W120&lt;='分位数阈值'!$D$16,2,TRUE,1)))</f>
        <v/>
      </c>
      <c r="AS120" s="23">
        <f>IF(X120="","",X120)</f>
        <v/>
      </c>
      <c r="AT120" s="23">
        <f>IF(Y120="","",Y120)</f>
        <v/>
      </c>
      <c r="AU120" s="10">
        <f>IF($A120="","",IF(OR(Z120=1,AR120=1,AJ120=1),"淘汰","通过"))</f>
        <v/>
      </c>
      <c r="AV120" s="10">
        <f>IF($A120="","",IF(OR(AA120=1,AR120=1,AND(AK120=1,AI120=1),AO120=1),"淘汰","通过"))</f>
        <v/>
      </c>
      <c r="AW120" s="24">
        <f>IF($A120="","",IF(AU120="淘汰","",ROUND(SUMPRODUCT(Z120:AT120,Z$2:AT$2)/5,1)))</f>
        <v/>
      </c>
      <c r="AX120" s="24">
        <f>IF($A120="","",IF(AV120="淘汰","",ROUND(SUMPRODUCT(Z120:AT120,Z$3:AT$3)/5,1)))</f>
        <v/>
      </c>
    </row>
    <row r="121" ht="15.75" customHeight="1" s="25">
      <c r="A121" s="22" t="n"/>
      <c r="B121" s="20" t="n"/>
      <c r="C121" s="22" t="n"/>
      <c r="D121" s="22" t="n"/>
      <c r="E121" s="22" t="n"/>
      <c r="F121" s="22" t="n"/>
      <c r="G121" s="21" t="n"/>
      <c r="H121" s="21" t="n"/>
      <c r="I121" s="21" t="n"/>
      <c r="J121" s="21" t="n"/>
      <c r="K121" s="21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3">
        <f>IF(E121="","",IF('分位数阈值'!$D$2="","",IFS(E121&gt;='分位数阈值'!$D$2,5,E121&gt;='分位数阈值'!$E$2,4,E121&gt;='分位数阈值'!$F$2,3,E121&gt;='分位数阈值'!$G$2,2,TRUE,1)))</f>
        <v/>
      </c>
      <c r="AA121" s="23">
        <f>IF(F121="","",IF('分位数阈值'!$D$3="","",IFS(F121&gt;='分位数阈值'!$D$3,5,F121&gt;='分位数阈值'!$E$3,4,F121&gt;='分位数阈值'!$F$3,3,F121&gt;='分位数阈值'!$G$3,2,TRUE,1)))</f>
        <v/>
      </c>
      <c r="AB121" s="23">
        <f>IF(G121="","",IF('分位数阈值'!$D$4="","",IFS(G121&gt;='分位数阈值'!$D$4,5,G121&gt;='分位数阈值'!$E$4,4,G121&gt;='分位数阈值'!$F$4,3,G121&gt;='分位数阈值'!$G$4,2,TRUE,1)))</f>
        <v/>
      </c>
      <c r="AC121" s="23">
        <f>IF(H121="","",IF('分位数阈值'!$D$5="","",IFS(H121&gt;='分位数阈值'!$D$5,5,H121&gt;='分位数阈值'!$E$5,4,H121&gt;='分位数阈值'!$F$5,3,H121&gt;='分位数阈值'!$G$5,2,TRUE,1)))</f>
        <v/>
      </c>
      <c r="AD121" s="23">
        <f>IF(I121="","",IF('分位数阈值'!$D$6="","",IFS(I121&gt;='分位数阈值'!$D$6,5,I121&gt;='分位数阈值'!$E$6,4,I121&gt;='分位数阈值'!$F$6,3,I121&gt;='分位数阈值'!$G$6,2,TRUE,1)))</f>
        <v/>
      </c>
      <c r="AE121" s="23">
        <f>IF(J121="","",IF('分位数阈值'!$D$7="","",IFS(J121&gt;='分位数阈值'!$D$7,5,J121&gt;='分位数阈值'!$E$7,4,J121&gt;='分位数阈值'!$F$7,3,J121&gt;='分位数阈值'!$G$7,2,TRUE,1)))</f>
        <v/>
      </c>
      <c r="AF121" s="23">
        <f>IF(K121="","",IF('分位数阈值'!$D$8="","",IFS(K121&gt;='分位数阈值'!$D$8,5,K121&gt;='分位数阈值'!$E$8,4,K121&gt;='分位数阈值'!$F$8,3,K121&gt;='分位数阈值'!$G$8,2,TRUE,1)))</f>
        <v/>
      </c>
      <c r="AG121" s="23">
        <f>IF(L121="","",IF('分位数阈值'!$D$9="","",IFS(L121&gt;='分位数阈值'!$D$9,5,L121&gt;='分位数阈值'!$E$9,4,L121&gt;='分位数阈值'!$F$9,3,L121&gt;='分位数阈值'!$G$9,2,TRUE,1)))</f>
        <v/>
      </c>
      <c r="AH121" s="23">
        <f>IF(M121="","",IF('分位数阈值'!$D$10="","",IFS(M121&lt;='分位数阈值'!$G$10,5,M121&lt;='分位数阈值'!$F$10,4,M121&lt;='分位数阈值'!$E$10,3,M121&lt;='分位数阈值'!$D$10,2,TRUE,1)))</f>
        <v/>
      </c>
      <c r="AI121" s="23">
        <f>IF(N121="","",IF('分位数阈值'!$D$11="","",IFS(N121&lt;='分位数阈值'!$G$11,5,N121&lt;='分位数阈值'!$F$11,4,N121&lt;='分位数阈值'!$E$11,3,N121&lt;='分位数阈值'!$D$11,2,TRUE,1)))</f>
        <v/>
      </c>
      <c r="AJ121" s="23">
        <f>IF(P121="","",IF(P121=1,1,5))</f>
        <v/>
      </c>
      <c r="AK121" s="23">
        <f>IF(Q121="","",IF(Q121=1,1,5))</f>
        <v/>
      </c>
      <c r="AL121" s="23">
        <f>IF(O121="","",IF('分位数阈值'!$D$12="","",IFS(O121&gt;='分位数阈值'!$D$12,5,O121&gt;='分位数阈值'!$E$12,4,O121&gt;='分位数阈值'!$F$12,3,O121&gt;='分位数阈值'!$G$12,2,TRUE,1)))</f>
        <v/>
      </c>
      <c r="AM121" s="23">
        <f>IF(R121="","",IF('分位数阈值'!$D$13="","",IFS(R121&lt;='分位数阈值'!$G$13,5,R121&lt;='分位数阈值'!$F$13,4,R121&lt;='分位数阈值'!$E$13,3,R121&lt;='分位数阈值'!$D$13,2,TRUE,1)))</f>
        <v/>
      </c>
      <c r="AN121" s="23">
        <f>IF(S121="","",IF('分位数阈值'!$D$14="","",IFS(S121&lt;='分位数阈值'!$G$14,5,S121&lt;='分位数阈值'!$F$14,4,S121&lt;='分位数阈值'!$E$14,3,S121&lt;='分位数阈值'!$D$14,2,TRUE,1)))</f>
        <v/>
      </c>
      <c r="AO121" s="23">
        <f>IF(T121="","",IF('分位数阈值'!$D$15="","",IFS(T121&lt;='分位数阈值'!$G$15,5,T121&lt;='分位数阈值'!$F$15,4,T121&lt;='分位数阈值'!$E$15,3,T121&lt;='分位数阈值'!$D$15,2,TRUE,1)))</f>
        <v/>
      </c>
      <c r="AP121" s="23">
        <f>IF(U121="","",IF(U121=1,5,1))</f>
        <v/>
      </c>
      <c r="AQ121" s="23">
        <f>IF(V121="","",V121)</f>
        <v/>
      </c>
      <c r="AR121" s="23">
        <f>IF(W121="","",IF('分位数阈值'!$D$16="","",IFS(W121&lt;='分位数阈值'!$G$16,5,W121&lt;='分位数阈值'!$F$16,4,W121&lt;='分位数阈值'!$E$16,3,W121&lt;='分位数阈值'!$D$16,2,TRUE,1)))</f>
        <v/>
      </c>
      <c r="AS121" s="23">
        <f>IF(X121="","",X121)</f>
        <v/>
      </c>
      <c r="AT121" s="23">
        <f>IF(Y121="","",Y121)</f>
        <v/>
      </c>
      <c r="AU121" s="10">
        <f>IF($A121="","",IF(OR(Z121=1,AR121=1,AJ121=1),"淘汰","通过"))</f>
        <v/>
      </c>
      <c r="AV121" s="10">
        <f>IF($A121="","",IF(OR(AA121=1,AR121=1,AND(AK121=1,AI121=1),AO121=1),"淘汰","通过"))</f>
        <v/>
      </c>
      <c r="AW121" s="24">
        <f>IF($A121="","",IF(AU121="淘汰","",ROUND(SUMPRODUCT(Z121:AT121,Z$2:AT$2)/5,1)))</f>
        <v/>
      </c>
      <c r="AX121" s="24">
        <f>IF($A121="","",IF(AV121="淘汰","",ROUND(SUMPRODUCT(Z121:AT121,Z$3:AT$3)/5,1)))</f>
        <v/>
      </c>
    </row>
    <row r="122" ht="15.75" customHeight="1" s="25">
      <c r="A122" s="22" t="n"/>
      <c r="B122" s="20" t="n"/>
      <c r="C122" s="22" t="n"/>
      <c r="D122" s="22" t="n"/>
      <c r="E122" s="22" t="n"/>
      <c r="F122" s="22" t="n"/>
      <c r="G122" s="21" t="n"/>
      <c r="H122" s="21" t="n"/>
      <c r="I122" s="21" t="n"/>
      <c r="J122" s="21" t="n"/>
      <c r="K122" s="21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3">
        <f>IF(E122="","",IF('分位数阈值'!$D$2="","",IFS(E122&gt;='分位数阈值'!$D$2,5,E122&gt;='分位数阈值'!$E$2,4,E122&gt;='分位数阈值'!$F$2,3,E122&gt;='分位数阈值'!$G$2,2,TRUE,1)))</f>
        <v/>
      </c>
      <c r="AA122" s="23">
        <f>IF(F122="","",IF('分位数阈值'!$D$3="","",IFS(F122&gt;='分位数阈值'!$D$3,5,F122&gt;='分位数阈值'!$E$3,4,F122&gt;='分位数阈值'!$F$3,3,F122&gt;='分位数阈值'!$G$3,2,TRUE,1)))</f>
        <v/>
      </c>
      <c r="AB122" s="23">
        <f>IF(G122="","",IF('分位数阈值'!$D$4="","",IFS(G122&gt;='分位数阈值'!$D$4,5,G122&gt;='分位数阈值'!$E$4,4,G122&gt;='分位数阈值'!$F$4,3,G122&gt;='分位数阈值'!$G$4,2,TRUE,1)))</f>
        <v/>
      </c>
      <c r="AC122" s="23">
        <f>IF(H122="","",IF('分位数阈值'!$D$5="","",IFS(H122&gt;='分位数阈值'!$D$5,5,H122&gt;='分位数阈值'!$E$5,4,H122&gt;='分位数阈值'!$F$5,3,H122&gt;='分位数阈值'!$G$5,2,TRUE,1)))</f>
        <v/>
      </c>
      <c r="AD122" s="23">
        <f>IF(I122="","",IF('分位数阈值'!$D$6="","",IFS(I122&gt;='分位数阈值'!$D$6,5,I122&gt;='分位数阈值'!$E$6,4,I122&gt;='分位数阈值'!$F$6,3,I122&gt;='分位数阈值'!$G$6,2,TRUE,1)))</f>
        <v/>
      </c>
      <c r="AE122" s="23">
        <f>IF(J122="","",IF('分位数阈值'!$D$7="","",IFS(J122&gt;='分位数阈值'!$D$7,5,J122&gt;='分位数阈值'!$E$7,4,J122&gt;='分位数阈值'!$F$7,3,J122&gt;='分位数阈值'!$G$7,2,TRUE,1)))</f>
        <v/>
      </c>
      <c r="AF122" s="23">
        <f>IF(K122="","",IF('分位数阈值'!$D$8="","",IFS(K122&gt;='分位数阈值'!$D$8,5,K122&gt;='分位数阈值'!$E$8,4,K122&gt;='分位数阈值'!$F$8,3,K122&gt;='分位数阈值'!$G$8,2,TRUE,1)))</f>
        <v/>
      </c>
      <c r="AG122" s="23">
        <f>IF(L122="","",IF('分位数阈值'!$D$9="","",IFS(L122&gt;='分位数阈值'!$D$9,5,L122&gt;='分位数阈值'!$E$9,4,L122&gt;='分位数阈值'!$F$9,3,L122&gt;='分位数阈值'!$G$9,2,TRUE,1)))</f>
        <v/>
      </c>
      <c r="AH122" s="23">
        <f>IF(M122="","",IF('分位数阈值'!$D$10="","",IFS(M122&lt;='分位数阈值'!$G$10,5,M122&lt;='分位数阈值'!$F$10,4,M122&lt;='分位数阈值'!$E$10,3,M122&lt;='分位数阈值'!$D$10,2,TRUE,1)))</f>
        <v/>
      </c>
      <c r="AI122" s="23">
        <f>IF(N122="","",IF('分位数阈值'!$D$11="","",IFS(N122&lt;='分位数阈值'!$G$11,5,N122&lt;='分位数阈值'!$F$11,4,N122&lt;='分位数阈值'!$E$11,3,N122&lt;='分位数阈值'!$D$11,2,TRUE,1)))</f>
        <v/>
      </c>
      <c r="AJ122" s="23">
        <f>IF(P122="","",IF(P122=1,1,5))</f>
        <v/>
      </c>
      <c r="AK122" s="23">
        <f>IF(Q122="","",IF(Q122=1,1,5))</f>
        <v/>
      </c>
      <c r="AL122" s="23">
        <f>IF(O122="","",IF('分位数阈值'!$D$12="","",IFS(O122&gt;='分位数阈值'!$D$12,5,O122&gt;='分位数阈值'!$E$12,4,O122&gt;='分位数阈值'!$F$12,3,O122&gt;='分位数阈值'!$G$12,2,TRUE,1)))</f>
        <v/>
      </c>
      <c r="AM122" s="23">
        <f>IF(R122="","",IF('分位数阈值'!$D$13="","",IFS(R122&lt;='分位数阈值'!$G$13,5,R122&lt;='分位数阈值'!$F$13,4,R122&lt;='分位数阈值'!$E$13,3,R122&lt;='分位数阈值'!$D$13,2,TRUE,1)))</f>
        <v/>
      </c>
      <c r="AN122" s="23">
        <f>IF(S122="","",IF('分位数阈值'!$D$14="","",IFS(S122&lt;='分位数阈值'!$G$14,5,S122&lt;='分位数阈值'!$F$14,4,S122&lt;='分位数阈值'!$E$14,3,S122&lt;='分位数阈值'!$D$14,2,TRUE,1)))</f>
        <v/>
      </c>
      <c r="AO122" s="23">
        <f>IF(T122="","",IF('分位数阈值'!$D$15="","",IFS(T122&lt;='分位数阈值'!$G$15,5,T122&lt;='分位数阈值'!$F$15,4,T122&lt;='分位数阈值'!$E$15,3,T122&lt;='分位数阈值'!$D$15,2,TRUE,1)))</f>
        <v/>
      </c>
      <c r="AP122" s="23">
        <f>IF(U122="","",IF(U122=1,5,1))</f>
        <v/>
      </c>
      <c r="AQ122" s="23">
        <f>IF(V122="","",V122)</f>
        <v/>
      </c>
      <c r="AR122" s="23">
        <f>IF(W122="","",IF('分位数阈值'!$D$16="","",IFS(W122&lt;='分位数阈值'!$G$16,5,W122&lt;='分位数阈值'!$F$16,4,W122&lt;='分位数阈值'!$E$16,3,W122&lt;='分位数阈值'!$D$16,2,TRUE,1)))</f>
        <v/>
      </c>
      <c r="AS122" s="23">
        <f>IF(X122="","",X122)</f>
        <v/>
      </c>
      <c r="AT122" s="23">
        <f>IF(Y122="","",Y122)</f>
        <v/>
      </c>
      <c r="AU122" s="10">
        <f>IF($A122="","",IF(OR(Z122=1,AR122=1,AJ122=1),"淘汰","通过"))</f>
        <v/>
      </c>
      <c r="AV122" s="10">
        <f>IF($A122="","",IF(OR(AA122=1,AR122=1,AND(AK122=1,AI122=1),AO122=1),"淘汰","通过"))</f>
        <v/>
      </c>
      <c r="AW122" s="24">
        <f>IF($A122="","",IF(AU122="淘汰","",ROUND(SUMPRODUCT(Z122:AT122,Z$2:AT$2)/5,1)))</f>
        <v/>
      </c>
      <c r="AX122" s="24">
        <f>IF($A122="","",IF(AV122="淘汰","",ROUND(SUMPRODUCT(Z122:AT122,Z$3:AT$3)/5,1)))</f>
        <v/>
      </c>
    </row>
    <row r="123" ht="15.75" customHeight="1" s="25">
      <c r="A123" s="22" t="n"/>
      <c r="B123" s="20" t="n"/>
      <c r="C123" s="22" t="n"/>
      <c r="D123" s="22" t="n"/>
      <c r="E123" s="22" t="n"/>
      <c r="F123" s="22" t="n"/>
      <c r="G123" s="21" t="n"/>
      <c r="H123" s="21" t="n"/>
      <c r="I123" s="21" t="n"/>
      <c r="J123" s="21" t="n"/>
      <c r="K123" s="21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3">
        <f>IF(E123="","",IF('分位数阈值'!$D$2="","",IFS(E123&gt;='分位数阈值'!$D$2,5,E123&gt;='分位数阈值'!$E$2,4,E123&gt;='分位数阈值'!$F$2,3,E123&gt;='分位数阈值'!$G$2,2,TRUE,1)))</f>
        <v/>
      </c>
      <c r="AA123" s="23">
        <f>IF(F123="","",IF('分位数阈值'!$D$3="","",IFS(F123&gt;='分位数阈值'!$D$3,5,F123&gt;='分位数阈值'!$E$3,4,F123&gt;='分位数阈值'!$F$3,3,F123&gt;='分位数阈值'!$G$3,2,TRUE,1)))</f>
        <v/>
      </c>
      <c r="AB123" s="23">
        <f>IF(G123="","",IF('分位数阈值'!$D$4="","",IFS(G123&gt;='分位数阈值'!$D$4,5,G123&gt;='分位数阈值'!$E$4,4,G123&gt;='分位数阈值'!$F$4,3,G123&gt;='分位数阈值'!$G$4,2,TRUE,1)))</f>
        <v/>
      </c>
      <c r="AC123" s="23">
        <f>IF(H123="","",IF('分位数阈值'!$D$5="","",IFS(H123&gt;='分位数阈值'!$D$5,5,H123&gt;='分位数阈值'!$E$5,4,H123&gt;='分位数阈值'!$F$5,3,H123&gt;='分位数阈值'!$G$5,2,TRUE,1)))</f>
        <v/>
      </c>
      <c r="AD123" s="23">
        <f>IF(I123="","",IF('分位数阈值'!$D$6="","",IFS(I123&gt;='分位数阈值'!$D$6,5,I123&gt;='分位数阈值'!$E$6,4,I123&gt;='分位数阈值'!$F$6,3,I123&gt;='分位数阈值'!$G$6,2,TRUE,1)))</f>
        <v/>
      </c>
      <c r="AE123" s="23">
        <f>IF(J123="","",IF('分位数阈值'!$D$7="","",IFS(J123&gt;='分位数阈值'!$D$7,5,J123&gt;='分位数阈值'!$E$7,4,J123&gt;='分位数阈值'!$F$7,3,J123&gt;='分位数阈值'!$G$7,2,TRUE,1)))</f>
        <v/>
      </c>
      <c r="AF123" s="23">
        <f>IF(K123="","",IF('分位数阈值'!$D$8="","",IFS(K123&gt;='分位数阈值'!$D$8,5,K123&gt;='分位数阈值'!$E$8,4,K123&gt;='分位数阈值'!$F$8,3,K123&gt;='分位数阈值'!$G$8,2,TRUE,1)))</f>
        <v/>
      </c>
      <c r="AG123" s="23">
        <f>IF(L123="","",IF('分位数阈值'!$D$9="","",IFS(L123&gt;='分位数阈值'!$D$9,5,L123&gt;='分位数阈值'!$E$9,4,L123&gt;='分位数阈值'!$F$9,3,L123&gt;='分位数阈值'!$G$9,2,TRUE,1)))</f>
        <v/>
      </c>
      <c r="AH123" s="23">
        <f>IF(M123="","",IF('分位数阈值'!$D$10="","",IFS(M123&lt;='分位数阈值'!$G$10,5,M123&lt;='分位数阈值'!$F$10,4,M123&lt;='分位数阈值'!$E$10,3,M123&lt;='分位数阈值'!$D$10,2,TRUE,1)))</f>
        <v/>
      </c>
      <c r="AI123" s="23">
        <f>IF(N123="","",IF('分位数阈值'!$D$11="","",IFS(N123&lt;='分位数阈值'!$G$11,5,N123&lt;='分位数阈值'!$F$11,4,N123&lt;='分位数阈值'!$E$11,3,N123&lt;='分位数阈值'!$D$11,2,TRUE,1)))</f>
        <v/>
      </c>
      <c r="AJ123" s="23">
        <f>IF(P123="","",IF(P123=1,1,5))</f>
        <v/>
      </c>
      <c r="AK123" s="23">
        <f>IF(Q123="","",IF(Q123=1,1,5))</f>
        <v/>
      </c>
      <c r="AL123" s="23">
        <f>IF(O123="","",IF('分位数阈值'!$D$12="","",IFS(O123&gt;='分位数阈值'!$D$12,5,O123&gt;='分位数阈值'!$E$12,4,O123&gt;='分位数阈值'!$F$12,3,O123&gt;='分位数阈值'!$G$12,2,TRUE,1)))</f>
        <v/>
      </c>
      <c r="AM123" s="23">
        <f>IF(R123="","",IF('分位数阈值'!$D$13="","",IFS(R123&lt;='分位数阈值'!$G$13,5,R123&lt;='分位数阈值'!$F$13,4,R123&lt;='分位数阈值'!$E$13,3,R123&lt;='分位数阈值'!$D$13,2,TRUE,1)))</f>
        <v/>
      </c>
      <c r="AN123" s="23">
        <f>IF(S123="","",IF('分位数阈值'!$D$14="","",IFS(S123&lt;='分位数阈值'!$G$14,5,S123&lt;='分位数阈值'!$F$14,4,S123&lt;='分位数阈值'!$E$14,3,S123&lt;='分位数阈值'!$D$14,2,TRUE,1)))</f>
        <v/>
      </c>
      <c r="AO123" s="23">
        <f>IF(T123="","",IF('分位数阈值'!$D$15="","",IFS(T123&lt;='分位数阈值'!$G$15,5,T123&lt;='分位数阈值'!$F$15,4,T123&lt;='分位数阈值'!$E$15,3,T123&lt;='分位数阈值'!$D$15,2,TRUE,1)))</f>
        <v/>
      </c>
      <c r="AP123" s="23">
        <f>IF(U123="","",IF(U123=1,5,1))</f>
        <v/>
      </c>
      <c r="AQ123" s="23">
        <f>IF(V123="","",V123)</f>
        <v/>
      </c>
      <c r="AR123" s="23">
        <f>IF(W123="","",IF('分位数阈值'!$D$16="","",IFS(W123&lt;='分位数阈值'!$G$16,5,W123&lt;='分位数阈值'!$F$16,4,W123&lt;='分位数阈值'!$E$16,3,W123&lt;='分位数阈值'!$D$16,2,TRUE,1)))</f>
        <v/>
      </c>
      <c r="AS123" s="23">
        <f>IF(X123="","",X123)</f>
        <v/>
      </c>
      <c r="AT123" s="23">
        <f>IF(Y123="","",Y123)</f>
        <v/>
      </c>
      <c r="AU123" s="10">
        <f>IF($A123="","",IF(OR(Z123=1,AR123=1,AJ123=1),"淘汰","通过"))</f>
        <v/>
      </c>
      <c r="AV123" s="10">
        <f>IF($A123="","",IF(OR(AA123=1,AR123=1,AND(AK123=1,AI123=1),AO123=1),"淘汰","通过"))</f>
        <v/>
      </c>
      <c r="AW123" s="24">
        <f>IF($A123="","",IF(AU123="淘汰","",ROUND(SUMPRODUCT(Z123:AT123,Z$2:AT$2)/5,1)))</f>
        <v/>
      </c>
      <c r="AX123" s="24">
        <f>IF($A123="","",IF(AV123="淘汰","",ROUND(SUMPRODUCT(Z123:AT123,Z$3:AT$3)/5,1)))</f>
        <v/>
      </c>
    </row>
    <row r="124" ht="15.75" customHeight="1" s="25">
      <c r="A124" s="22" t="n"/>
      <c r="B124" s="20" t="n"/>
      <c r="C124" s="22" t="n"/>
      <c r="D124" s="22" t="n"/>
      <c r="E124" s="22" t="n"/>
      <c r="F124" s="22" t="n"/>
      <c r="G124" s="21" t="n"/>
      <c r="H124" s="21" t="n"/>
      <c r="I124" s="21" t="n"/>
      <c r="J124" s="21" t="n"/>
      <c r="K124" s="21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3">
        <f>IF(E124="","",IF('分位数阈值'!$D$2="","",IFS(E124&gt;='分位数阈值'!$D$2,5,E124&gt;='分位数阈值'!$E$2,4,E124&gt;='分位数阈值'!$F$2,3,E124&gt;='分位数阈值'!$G$2,2,TRUE,1)))</f>
        <v/>
      </c>
      <c r="AA124" s="23">
        <f>IF(F124="","",IF('分位数阈值'!$D$3="","",IFS(F124&gt;='分位数阈值'!$D$3,5,F124&gt;='分位数阈值'!$E$3,4,F124&gt;='分位数阈值'!$F$3,3,F124&gt;='分位数阈值'!$G$3,2,TRUE,1)))</f>
        <v/>
      </c>
      <c r="AB124" s="23">
        <f>IF(G124="","",IF('分位数阈值'!$D$4="","",IFS(G124&gt;='分位数阈值'!$D$4,5,G124&gt;='分位数阈值'!$E$4,4,G124&gt;='分位数阈值'!$F$4,3,G124&gt;='分位数阈值'!$G$4,2,TRUE,1)))</f>
        <v/>
      </c>
      <c r="AC124" s="23">
        <f>IF(H124="","",IF('分位数阈值'!$D$5="","",IFS(H124&gt;='分位数阈值'!$D$5,5,H124&gt;='分位数阈值'!$E$5,4,H124&gt;='分位数阈值'!$F$5,3,H124&gt;='分位数阈值'!$G$5,2,TRUE,1)))</f>
        <v/>
      </c>
      <c r="AD124" s="23">
        <f>IF(I124="","",IF('分位数阈值'!$D$6="","",IFS(I124&gt;='分位数阈值'!$D$6,5,I124&gt;='分位数阈值'!$E$6,4,I124&gt;='分位数阈值'!$F$6,3,I124&gt;='分位数阈值'!$G$6,2,TRUE,1)))</f>
        <v/>
      </c>
      <c r="AE124" s="23">
        <f>IF(J124="","",IF('分位数阈值'!$D$7="","",IFS(J124&gt;='分位数阈值'!$D$7,5,J124&gt;='分位数阈值'!$E$7,4,J124&gt;='分位数阈值'!$F$7,3,J124&gt;='分位数阈值'!$G$7,2,TRUE,1)))</f>
        <v/>
      </c>
      <c r="AF124" s="23">
        <f>IF(K124="","",IF('分位数阈值'!$D$8="","",IFS(K124&gt;='分位数阈值'!$D$8,5,K124&gt;='分位数阈值'!$E$8,4,K124&gt;='分位数阈值'!$F$8,3,K124&gt;='分位数阈值'!$G$8,2,TRUE,1)))</f>
        <v/>
      </c>
      <c r="AG124" s="23">
        <f>IF(L124="","",IF('分位数阈值'!$D$9="","",IFS(L124&gt;='分位数阈值'!$D$9,5,L124&gt;='分位数阈值'!$E$9,4,L124&gt;='分位数阈值'!$F$9,3,L124&gt;='分位数阈值'!$G$9,2,TRUE,1)))</f>
        <v/>
      </c>
      <c r="AH124" s="23">
        <f>IF(M124="","",IF('分位数阈值'!$D$10="","",IFS(M124&lt;='分位数阈值'!$G$10,5,M124&lt;='分位数阈值'!$F$10,4,M124&lt;='分位数阈值'!$E$10,3,M124&lt;='分位数阈值'!$D$10,2,TRUE,1)))</f>
        <v/>
      </c>
      <c r="AI124" s="23">
        <f>IF(N124="","",IF('分位数阈值'!$D$11="","",IFS(N124&lt;='分位数阈值'!$G$11,5,N124&lt;='分位数阈值'!$F$11,4,N124&lt;='分位数阈值'!$E$11,3,N124&lt;='分位数阈值'!$D$11,2,TRUE,1)))</f>
        <v/>
      </c>
      <c r="AJ124" s="23">
        <f>IF(P124="","",IF(P124=1,1,5))</f>
        <v/>
      </c>
      <c r="AK124" s="23">
        <f>IF(Q124="","",IF(Q124=1,1,5))</f>
        <v/>
      </c>
      <c r="AL124" s="23">
        <f>IF(O124="","",IF('分位数阈值'!$D$12="","",IFS(O124&gt;='分位数阈值'!$D$12,5,O124&gt;='分位数阈值'!$E$12,4,O124&gt;='分位数阈值'!$F$12,3,O124&gt;='分位数阈值'!$G$12,2,TRUE,1)))</f>
        <v/>
      </c>
      <c r="AM124" s="23">
        <f>IF(R124="","",IF('分位数阈值'!$D$13="","",IFS(R124&lt;='分位数阈值'!$G$13,5,R124&lt;='分位数阈值'!$F$13,4,R124&lt;='分位数阈值'!$E$13,3,R124&lt;='分位数阈值'!$D$13,2,TRUE,1)))</f>
        <v/>
      </c>
      <c r="AN124" s="23">
        <f>IF(S124="","",IF('分位数阈值'!$D$14="","",IFS(S124&lt;='分位数阈值'!$G$14,5,S124&lt;='分位数阈值'!$F$14,4,S124&lt;='分位数阈值'!$E$14,3,S124&lt;='分位数阈值'!$D$14,2,TRUE,1)))</f>
        <v/>
      </c>
      <c r="AO124" s="23">
        <f>IF(T124="","",IF('分位数阈值'!$D$15="","",IFS(T124&lt;='分位数阈值'!$G$15,5,T124&lt;='分位数阈值'!$F$15,4,T124&lt;='分位数阈值'!$E$15,3,T124&lt;='分位数阈值'!$D$15,2,TRUE,1)))</f>
        <v/>
      </c>
      <c r="AP124" s="23">
        <f>IF(U124="","",IF(U124=1,5,1))</f>
        <v/>
      </c>
      <c r="AQ124" s="23">
        <f>IF(V124="","",V124)</f>
        <v/>
      </c>
      <c r="AR124" s="23">
        <f>IF(W124="","",IF('分位数阈值'!$D$16="","",IFS(W124&lt;='分位数阈值'!$G$16,5,W124&lt;='分位数阈值'!$F$16,4,W124&lt;='分位数阈值'!$E$16,3,W124&lt;='分位数阈值'!$D$16,2,TRUE,1)))</f>
        <v/>
      </c>
      <c r="AS124" s="23">
        <f>IF(X124="","",X124)</f>
        <v/>
      </c>
      <c r="AT124" s="23">
        <f>IF(Y124="","",Y124)</f>
        <v/>
      </c>
      <c r="AU124" s="10">
        <f>IF($A124="","",IF(OR(Z124=1,AR124=1,AJ124=1),"淘汰","通过"))</f>
        <v/>
      </c>
      <c r="AV124" s="10">
        <f>IF($A124="","",IF(OR(AA124=1,AR124=1,AND(AK124=1,AI124=1),AO124=1),"淘汰","通过"))</f>
        <v/>
      </c>
      <c r="AW124" s="24">
        <f>IF($A124="","",IF(AU124="淘汰","",ROUND(SUMPRODUCT(Z124:AT124,Z$2:AT$2)/5,1)))</f>
        <v/>
      </c>
      <c r="AX124" s="24">
        <f>IF($A124="","",IF(AV124="淘汰","",ROUND(SUMPRODUCT(Z124:AT124,Z$3:AT$3)/5,1)))</f>
        <v/>
      </c>
    </row>
    <row r="125" ht="15.75" customHeight="1" s="25">
      <c r="A125" s="22" t="n"/>
      <c r="B125" s="20" t="n"/>
      <c r="C125" s="22" t="n"/>
      <c r="D125" s="22" t="n"/>
      <c r="E125" s="22" t="n"/>
      <c r="F125" s="22" t="n"/>
      <c r="G125" s="21" t="n"/>
      <c r="H125" s="21" t="n"/>
      <c r="I125" s="21" t="n"/>
      <c r="J125" s="21" t="n"/>
      <c r="K125" s="21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3">
        <f>IF(E125="","",IF('分位数阈值'!$D$2="","",IFS(E125&gt;='分位数阈值'!$D$2,5,E125&gt;='分位数阈值'!$E$2,4,E125&gt;='分位数阈值'!$F$2,3,E125&gt;='分位数阈值'!$G$2,2,TRUE,1)))</f>
        <v/>
      </c>
      <c r="AA125" s="23">
        <f>IF(F125="","",IF('分位数阈值'!$D$3="","",IFS(F125&gt;='分位数阈值'!$D$3,5,F125&gt;='分位数阈值'!$E$3,4,F125&gt;='分位数阈值'!$F$3,3,F125&gt;='分位数阈值'!$G$3,2,TRUE,1)))</f>
        <v/>
      </c>
      <c r="AB125" s="23">
        <f>IF(G125="","",IF('分位数阈值'!$D$4="","",IFS(G125&gt;='分位数阈值'!$D$4,5,G125&gt;='分位数阈值'!$E$4,4,G125&gt;='分位数阈值'!$F$4,3,G125&gt;='分位数阈值'!$G$4,2,TRUE,1)))</f>
        <v/>
      </c>
      <c r="AC125" s="23">
        <f>IF(H125="","",IF('分位数阈值'!$D$5="","",IFS(H125&gt;='分位数阈值'!$D$5,5,H125&gt;='分位数阈值'!$E$5,4,H125&gt;='分位数阈值'!$F$5,3,H125&gt;='分位数阈值'!$G$5,2,TRUE,1)))</f>
        <v/>
      </c>
      <c r="AD125" s="23">
        <f>IF(I125="","",IF('分位数阈值'!$D$6="","",IFS(I125&gt;='分位数阈值'!$D$6,5,I125&gt;='分位数阈值'!$E$6,4,I125&gt;='分位数阈值'!$F$6,3,I125&gt;='分位数阈值'!$G$6,2,TRUE,1)))</f>
        <v/>
      </c>
      <c r="AE125" s="23">
        <f>IF(J125="","",IF('分位数阈值'!$D$7="","",IFS(J125&gt;='分位数阈值'!$D$7,5,J125&gt;='分位数阈值'!$E$7,4,J125&gt;='分位数阈值'!$F$7,3,J125&gt;='分位数阈值'!$G$7,2,TRUE,1)))</f>
        <v/>
      </c>
      <c r="AF125" s="23">
        <f>IF(K125="","",IF('分位数阈值'!$D$8="","",IFS(K125&gt;='分位数阈值'!$D$8,5,K125&gt;='分位数阈值'!$E$8,4,K125&gt;='分位数阈值'!$F$8,3,K125&gt;='分位数阈值'!$G$8,2,TRUE,1)))</f>
        <v/>
      </c>
      <c r="AG125" s="23">
        <f>IF(L125="","",IF('分位数阈值'!$D$9="","",IFS(L125&gt;='分位数阈值'!$D$9,5,L125&gt;='分位数阈值'!$E$9,4,L125&gt;='分位数阈值'!$F$9,3,L125&gt;='分位数阈值'!$G$9,2,TRUE,1)))</f>
        <v/>
      </c>
      <c r="AH125" s="23">
        <f>IF(M125="","",IF('分位数阈值'!$D$10="","",IFS(M125&lt;='分位数阈值'!$G$10,5,M125&lt;='分位数阈值'!$F$10,4,M125&lt;='分位数阈值'!$E$10,3,M125&lt;='分位数阈值'!$D$10,2,TRUE,1)))</f>
        <v/>
      </c>
      <c r="AI125" s="23">
        <f>IF(N125="","",IF('分位数阈值'!$D$11="","",IFS(N125&lt;='分位数阈值'!$G$11,5,N125&lt;='分位数阈值'!$F$11,4,N125&lt;='分位数阈值'!$E$11,3,N125&lt;='分位数阈值'!$D$11,2,TRUE,1)))</f>
        <v/>
      </c>
      <c r="AJ125" s="23">
        <f>IF(P125="","",IF(P125=1,1,5))</f>
        <v/>
      </c>
      <c r="AK125" s="23">
        <f>IF(Q125="","",IF(Q125=1,1,5))</f>
        <v/>
      </c>
      <c r="AL125" s="23">
        <f>IF(O125="","",IF('分位数阈值'!$D$12="","",IFS(O125&gt;='分位数阈值'!$D$12,5,O125&gt;='分位数阈值'!$E$12,4,O125&gt;='分位数阈值'!$F$12,3,O125&gt;='分位数阈值'!$G$12,2,TRUE,1)))</f>
        <v/>
      </c>
      <c r="AM125" s="23">
        <f>IF(R125="","",IF('分位数阈值'!$D$13="","",IFS(R125&lt;='分位数阈值'!$G$13,5,R125&lt;='分位数阈值'!$F$13,4,R125&lt;='分位数阈值'!$E$13,3,R125&lt;='分位数阈值'!$D$13,2,TRUE,1)))</f>
        <v/>
      </c>
      <c r="AN125" s="23">
        <f>IF(S125="","",IF('分位数阈值'!$D$14="","",IFS(S125&lt;='分位数阈值'!$G$14,5,S125&lt;='分位数阈值'!$F$14,4,S125&lt;='分位数阈值'!$E$14,3,S125&lt;='分位数阈值'!$D$14,2,TRUE,1)))</f>
        <v/>
      </c>
      <c r="AO125" s="23">
        <f>IF(T125="","",IF('分位数阈值'!$D$15="","",IFS(T125&lt;='分位数阈值'!$G$15,5,T125&lt;='分位数阈值'!$F$15,4,T125&lt;='分位数阈值'!$E$15,3,T125&lt;='分位数阈值'!$D$15,2,TRUE,1)))</f>
        <v/>
      </c>
      <c r="AP125" s="23">
        <f>IF(U125="","",IF(U125=1,5,1))</f>
        <v/>
      </c>
      <c r="AQ125" s="23">
        <f>IF(V125="","",V125)</f>
        <v/>
      </c>
      <c r="AR125" s="23">
        <f>IF(W125="","",IF('分位数阈值'!$D$16="","",IFS(W125&lt;='分位数阈值'!$G$16,5,W125&lt;='分位数阈值'!$F$16,4,W125&lt;='分位数阈值'!$E$16,3,W125&lt;='分位数阈值'!$D$16,2,TRUE,1)))</f>
        <v/>
      </c>
      <c r="AS125" s="23">
        <f>IF(X125="","",X125)</f>
        <v/>
      </c>
      <c r="AT125" s="23">
        <f>IF(Y125="","",Y125)</f>
        <v/>
      </c>
      <c r="AU125" s="10">
        <f>IF($A125="","",IF(OR(Z125=1,AR125=1,AJ125=1),"淘汰","通过"))</f>
        <v/>
      </c>
      <c r="AV125" s="10">
        <f>IF($A125="","",IF(OR(AA125=1,AR125=1,AND(AK125=1,AI125=1),AO125=1),"淘汰","通过"))</f>
        <v/>
      </c>
      <c r="AW125" s="24">
        <f>IF($A125="","",IF(AU125="淘汰","",ROUND(SUMPRODUCT(Z125:AT125,Z$2:AT$2)/5,1)))</f>
        <v/>
      </c>
      <c r="AX125" s="24">
        <f>IF($A125="","",IF(AV125="淘汰","",ROUND(SUMPRODUCT(Z125:AT125,Z$3:AT$3)/5,1)))</f>
        <v/>
      </c>
    </row>
    <row r="126" ht="15.75" customHeight="1" s="25">
      <c r="A126" s="22" t="n"/>
      <c r="B126" s="20" t="n"/>
      <c r="C126" s="22" t="n"/>
      <c r="D126" s="22" t="n"/>
      <c r="E126" s="22" t="n"/>
      <c r="F126" s="22" t="n"/>
      <c r="G126" s="21" t="n"/>
      <c r="H126" s="21" t="n"/>
      <c r="I126" s="21" t="n"/>
      <c r="J126" s="21" t="n"/>
      <c r="K126" s="21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3">
        <f>IF(E126="","",IF('分位数阈值'!$D$2="","",IFS(E126&gt;='分位数阈值'!$D$2,5,E126&gt;='分位数阈值'!$E$2,4,E126&gt;='分位数阈值'!$F$2,3,E126&gt;='分位数阈值'!$G$2,2,TRUE,1)))</f>
        <v/>
      </c>
      <c r="AA126" s="23">
        <f>IF(F126="","",IF('分位数阈值'!$D$3="","",IFS(F126&gt;='分位数阈值'!$D$3,5,F126&gt;='分位数阈值'!$E$3,4,F126&gt;='分位数阈值'!$F$3,3,F126&gt;='分位数阈值'!$G$3,2,TRUE,1)))</f>
        <v/>
      </c>
      <c r="AB126" s="23">
        <f>IF(G126="","",IF('分位数阈值'!$D$4="","",IFS(G126&gt;='分位数阈值'!$D$4,5,G126&gt;='分位数阈值'!$E$4,4,G126&gt;='分位数阈值'!$F$4,3,G126&gt;='分位数阈值'!$G$4,2,TRUE,1)))</f>
        <v/>
      </c>
      <c r="AC126" s="23">
        <f>IF(H126="","",IF('分位数阈值'!$D$5="","",IFS(H126&gt;='分位数阈值'!$D$5,5,H126&gt;='分位数阈值'!$E$5,4,H126&gt;='分位数阈值'!$F$5,3,H126&gt;='分位数阈值'!$G$5,2,TRUE,1)))</f>
        <v/>
      </c>
      <c r="AD126" s="23">
        <f>IF(I126="","",IF('分位数阈值'!$D$6="","",IFS(I126&gt;='分位数阈值'!$D$6,5,I126&gt;='分位数阈值'!$E$6,4,I126&gt;='分位数阈值'!$F$6,3,I126&gt;='分位数阈值'!$G$6,2,TRUE,1)))</f>
        <v/>
      </c>
      <c r="AE126" s="23">
        <f>IF(J126="","",IF('分位数阈值'!$D$7="","",IFS(J126&gt;='分位数阈值'!$D$7,5,J126&gt;='分位数阈值'!$E$7,4,J126&gt;='分位数阈值'!$F$7,3,J126&gt;='分位数阈值'!$G$7,2,TRUE,1)))</f>
        <v/>
      </c>
      <c r="AF126" s="23">
        <f>IF(K126="","",IF('分位数阈值'!$D$8="","",IFS(K126&gt;='分位数阈值'!$D$8,5,K126&gt;='分位数阈值'!$E$8,4,K126&gt;='分位数阈值'!$F$8,3,K126&gt;='分位数阈值'!$G$8,2,TRUE,1)))</f>
        <v/>
      </c>
      <c r="AG126" s="23">
        <f>IF(L126="","",IF('分位数阈值'!$D$9="","",IFS(L126&gt;='分位数阈值'!$D$9,5,L126&gt;='分位数阈值'!$E$9,4,L126&gt;='分位数阈值'!$F$9,3,L126&gt;='分位数阈值'!$G$9,2,TRUE,1)))</f>
        <v/>
      </c>
      <c r="AH126" s="23">
        <f>IF(M126="","",IF('分位数阈值'!$D$10="","",IFS(M126&lt;='分位数阈值'!$G$10,5,M126&lt;='分位数阈值'!$F$10,4,M126&lt;='分位数阈值'!$E$10,3,M126&lt;='分位数阈值'!$D$10,2,TRUE,1)))</f>
        <v/>
      </c>
      <c r="AI126" s="23">
        <f>IF(N126="","",IF('分位数阈值'!$D$11="","",IFS(N126&lt;='分位数阈值'!$G$11,5,N126&lt;='分位数阈值'!$F$11,4,N126&lt;='分位数阈值'!$E$11,3,N126&lt;='分位数阈值'!$D$11,2,TRUE,1)))</f>
        <v/>
      </c>
      <c r="AJ126" s="23">
        <f>IF(P126="","",IF(P126=1,1,5))</f>
        <v/>
      </c>
      <c r="AK126" s="23">
        <f>IF(Q126="","",IF(Q126=1,1,5))</f>
        <v/>
      </c>
      <c r="AL126" s="23">
        <f>IF(O126="","",IF('分位数阈值'!$D$12="","",IFS(O126&gt;='分位数阈值'!$D$12,5,O126&gt;='分位数阈值'!$E$12,4,O126&gt;='分位数阈值'!$F$12,3,O126&gt;='分位数阈值'!$G$12,2,TRUE,1)))</f>
        <v/>
      </c>
      <c r="AM126" s="23">
        <f>IF(R126="","",IF('分位数阈值'!$D$13="","",IFS(R126&lt;='分位数阈值'!$G$13,5,R126&lt;='分位数阈值'!$F$13,4,R126&lt;='分位数阈值'!$E$13,3,R126&lt;='分位数阈值'!$D$13,2,TRUE,1)))</f>
        <v/>
      </c>
      <c r="AN126" s="23">
        <f>IF(S126="","",IF('分位数阈值'!$D$14="","",IFS(S126&lt;='分位数阈值'!$G$14,5,S126&lt;='分位数阈值'!$F$14,4,S126&lt;='分位数阈值'!$E$14,3,S126&lt;='分位数阈值'!$D$14,2,TRUE,1)))</f>
        <v/>
      </c>
      <c r="AO126" s="23">
        <f>IF(T126="","",IF('分位数阈值'!$D$15="","",IFS(T126&lt;='分位数阈值'!$G$15,5,T126&lt;='分位数阈值'!$F$15,4,T126&lt;='分位数阈值'!$E$15,3,T126&lt;='分位数阈值'!$D$15,2,TRUE,1)))</f>
        <v/>
      </c>
      <c r="AP126" s="23">
        <f>IF(U126="","",IF(U126=1,5,1))</f>
        <v/>
      </c>
      <c r="AQ126" s="23">
        <f>IF(V126="","",V126)</f>
        <v/>
      </c>
      <c r="AR126" s="23">
        <f>IF(W126="","",IF('分位数阈值'!$D$16="","",IFS(W126&lt;='分位数阈值'!$G$16,5,W126&lt;='分位数阈值'!$F$16,4,W126&lt;='分位数阈值'!$E$16,3,W126&lt;='分位数阈值'!$D$16,2,TRUE,1)))</f>
        <v/>
      </c>
      <c r="AS126" s="23">
        <f>IF(X126="","",X126)</f>
        <v/>
      </c>
      <c r="AT126" s="23">
        <f>IF(Y126="","",Y126)</f>
        <v/>
      </c>
      <c r="AU126" s="10">
        <f>IF($A126="","",IF(OR(Z126=1,AR126=1,AJ126=1),"淘汰","通过"))</f>
        <v/>
      </c>
      <c r="AV126" s="10">
        <f>IF($A126="","",IF(OR(AA126=1,AR126=1,AND(AK126=1,AI126=1),AO126=1),"淘汰","通过"))</f>
        <v/>
      </c>
      <c r="AW126" s="24">
        <f>IF($A126="","",IF(AU126="淘汰","",ROUND(SUMPRODUCT(Z126:AT126,Z$2:AT$2)/5,1)))</f>
        <v/>
      </c>
      <c r="AX126" s="24">
        <f>IF($A126="","",IF(AV126="淘汰","",ROUND(SUMPRODUCT(Z126:AT126,Z$3:AT$3)/5,1)))</f>
        <v/>
      </c>
    </row>
    <row r="127" ht="15.75" customHeight="1" s="25">
      <c r="A127" s="22" t="n"/>
      <c r="B127" s="20" t="n"/>
      <c r="C127" s="22" t="n"/>
      <c r="D127" s="22" t="n"/>
      <c r="E127" s="22" t="n"/>
      <c r="F127" s="22" t="n"/>
      <c r="G127" s="21" t="n"/>
      <c r="H127" s="21" t="n"/>
      <c r="I127" s="21" t="n"/>
      <c r="J127" s="21" t="n"/>
      <c r="K127" s="21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3">
        <f>IF(E127="","",IF('分位数阈值'!$D$2="","",IFS(E127&gt;='分位数阈值'!$D$2,5,E127&gt;='分位数阈值'!$E$2,4,E127&gt;='分位数阈值'!$F$2,3,E127&gt;='分位数阈值'!$G$2,2,TRUE,1)))</f>
        <v/>
      </c>
      <c r="AA127" s="23">
        <f>IF(F127="","",IF('分位数阈值'!$D$3="","",IFS(F127&gt;='分位数阈值'!$D$3,5,F127&gt;='分位数阈值'!$E$3,4,F127&gt;='分位数阈值'!$F$3,3,F127&gt;='分位数阈值'!$G$3,2,TRUE,1)))</f>
        <v/>
      </c>
      <c r="AB127" s="23">
        <f>IF(G127="","",IF('分位数阈值'!$D$4="","",IFS(G127&gt;='分位数阈值'!$D$4,5,G127&gt;='分位数阈值'!$E$4,4,G127&gt;='分位数阈值'!$F$4,3,G127&gt;='分位数阈值'!$G$4,2,TRUE,1)))</f>
        <v/>
      </c>
      <c r="AC127" s="23">
        <f>IF(H127="","",IF('分位数阈值'!$D$5="","",IFS(H127&gt;='分位数阈值'!$D$5,5,H127&gt;='分位数阈值'!$E$5,4,H127&gt;='分位数阈值'!$F$5,3,H127&gt;='分位数阈值'!$G$5,2,TRUE,1)))</f>
        <v/>
      </c>
      <c r="AD127" s="23">
        <f>IF(I127="","",IF('分位数阈值'!$D$6="","",IFS(I127&gt;='分位数阈值'!$D$6,5,I127&gt;='分位数阈值'!$E$6,4,I127&gt;='分位数阈值'!$F$6,3,I127&gt;='分位数阈值'!$G$6,2,TRUE,1)))</f>
        <v/>
      </c>
      <c r="AE127" s="23">
        <f>IF(J127="","",IF('分位数阈值'!$D$7="","",IFS(J127&gt;='分位数阈值'!$D$7,5,J127&gt;='分位数阈值'!$E$7,4,J127&gt;='分位数阈值'!$F$7,3,J127&gt;='分位数阈值'!$G$7,2,TRUE,1)))</f>
        <v/>
      </c>
      <c r="AF127" s="23">
        <f>IF(K127="","",IF('分位数阈值'!$D$8="","",IFS(K127&gt;='分位数阈值'!$D$8,5,K127&gt;='分位数阈值'!$E$8,4,K127&gt;='分位数阈值'!$F$8,3,K127&gt;='分位数阈值'!$G$8,2,TRUE,1)))</f>
        <v/>
      </c>
      <c r="AG127" s="23">
        <f>IF(L127="","",IF('分位数阈值'!$D$9="","",IFS(L127&gt;='分位数阈值'!$D$9,5,L127&gt;='分位数阈值'!$E$9,4,L127&gt;='分位数阈值'!$F$9,3,L127&gt;='分位数阈值'!$G$9,2,TRUE,1)))</f>
        <v/>
      </c>
      <c r="AH127" s="23">
        <f>IF(M127="","",IF('分位数阈值'!$D$10="","",IFS(M127&lt;='分位数阈值'!$G$10,5,M127&lt;='分位数阈值'!$F$10,4,M127&lt;='分位数阈值'!$E$10,3,M127&lt;='分位数阈值'!$D$10,2,TRUE,1)))</f>
        <v/>
      </c>
      <c r="AI127" s="23">
        <f>IF(N127="","",IF('分位数阈值'!$D$11="","",IFS(N127&lt;='分位数阈值'!$G$11,5,N127&lt;='分位数阈值'!$F$11,4,N127&lt;='分位数阈值'!$E$11,3,N127&lt;='分位数阈值'!$D$11,2,TRUE,1)))</f>
        <v/>
      </c>
      <c r="AJ127" s="23">
        <f>IF(P127="","",IF(P127=1,1,5))</f>
        <v/>
      </c>
      <c r="AK127" s="23">
        <f>IF(Q127="","",IF(Q127=1,1,5))</f>
        <v/>
      </c>
      <c r="AL127" s="23">
        <f>IF(O127="","",IF('分位数阈值'!$D$12="","",IFS(O127&gt;='分位数阈值'!$D$12,5,O127&gt;='分位数阈值'!$E$12,4,O127&gt;='分位数阈值'!$F$12,3,O127&gt;='分位数阈值'!$G$12,2,TRUE,1)))</f>
        <v/>
      </c>
      <c r="AM127" s="23">
        <f>IF(R127="","",IF('分位数阈值'!$D$13="","",IFS(R127&lt;='分位数阈值'!$G$13,5,R127&lt;='分位数阈值'!$F$13,4,R127&lt;='分位数阈值'!$E$13,3,R127&lt;='分位数阈值'!$D$13,2,TRUE,1)))</f>
        <v/>
      </c>
      <c r="AN127" s="23">
        <f>IF(S127="","",IF('分位数阈值'!$D$14="","",IFS(S127&lt;='分位数阈值'!$G$14,5,S127&lt;='分位数阈值'!$F$14,4,S127&lt;='分位数阈值'!$E$14,3,S127&lt;='分位数阈值'!$D$14,2,TRUE,1)))</f>
        <v/>
      </c>
      <c r="AO127" s="23">
        <f>IF(T127="","",IF('分位数阈值'!$D$15="","",IFS(T127&lt;='分位数阈值'!$G$15,5,T127&lt;='分位数阈值'!$F$15,4,T127&lt;='分位数阈值'!$E$15,3,T127&lt;='分位数阈值'!$D$15,2,TRUE,1)))</f>
        <v/>
      </c>
      <c r="AP127" s="23">
        <f>IF(U127="","",IF(U127=1,5,1))</f>
        <v/>
      </c>
      <c r="AQ127" s="23">
        <f>IF(V127="","",V127)</f>
        <v/>
      </c>
      <c r="AR127" s="23">
        <f>IF(W127="","",IF('分位数阈值'!$D$16="","",IFS(W127&lt;='分位数阈值'!$G$16,5,W127&lt;='分位数阈值'!$F$16,4,W127&lt;='分位数阈值'!$E$16,3,W127&lt;='分位数阈值'!$D$16,2,TRUE,1)))</f>
        <v/>
      </c>
      <c r="AS127" s="23">
        <f>IF(X127="","",X127)</f>
        <v/>
      </c>
      <c r="AT127" s="23">
        <f>IF(Y127="","",Y127)</f>
        <v/>
      </c>
      <c r="AU127" s="10">
        <f>IF($A127="","",IF(OR(Z127=1,AR127=1,AJ127=1),"淘汰","通过"))</f>
        <v/>
      </c>
      <c r="AV127" s="10">
        <f>IF($A127="","",IF(OR(AA127=1,AR127=1,AND(AK127=1,AI127=1),AO127=1),"淘汰","通过"))</f>
        <v/>
      </c>
      <c r="AW127" s="24">
        <f>IF($A127="","",IF(AU127="淘汰","",ROUND(SUMPRODUCT(Z127:AT127,Z$2:AT$2)/5,1)))</f>
        <v/>
      </c>
      <c r="AX127" s="24">
        <f>IF($A127="","",IF(AV127="淘汰","",ROUND(SUMPRODUCT(Z127:AT127,Z$3:AT$3)/5,1)))</f>
        <v/>
      </c>
    </row>
    <row r="128" ht="15.75" customHeight="1" s="25">
      <c r="A128" s="22" t="n"/>
      <c r="B128" s="20" t="n"/>
      <c r="C128" s="22" t="n"/>
      <c r="D128" s="22" t="n"/>
      <c r="E128" s="22" t="n"/>
      <c r="F128" s="22" t="n"/>
      <c r="G128" s="21" t="n"/>
      <c r="H128" s="21" t="n"/>
      <c r="I128" s="21" t="n"/>
      <c r="J128" s="21" t="n"/>
      <c r="K128" s="21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3">
        <f>IF(E128="","",IF('分位数阈值'!$D$2="","",IFS(E128&gt;='分位数阈值'!$D$2,5,E128&gt;='分位数阈值'!$E$2,4,E128&gt;='分位数阈值'!$F$2,3,E128&gt;='分位数阈值'!$G$2,2,TRUE,1)))</f>
        <v/>
      </c>
      <c r="AA128" s="23">
        <f>IF(F128="","",IF('分位数阈值'!$D$3="","",IFS(F128&gt;='分位数阈值'!$D$3,5,F128&gt;='分位数阈值'!$E$3,4,F128&gt;='分位数阈值'!$F$3,3,F128&gt;='分位数阈值'!$G$3,2,TRUE,1)))</f>
        <v/>
      </c>
      <c r="AB128" s="23">
        <f>IF(G128="","",IF('分位数阈值'!$D$4="","",IFS(G128&gt;='分位数阈值'!$D$4,5,G128&gt;='分位数阈值'!$E$4,4,G128&gt;='分位数阈值'!$F$4,3,G128&gt;='分位数阈值'!$G$4,2,TRUE,1)))</f>
        <v/>
      </c>
      <c r="AC128" s="23">
        <f>IF(H128="","",IF('分位数阈值'!$D$5="","",IFS(H128&gt;='分位数阈值'!$D$5,5,H128&gt;='分位数阈值'!$E$5,4,H128&gt;='分位数阈值'!$F$5,3,H128&gt;='分位数阈值'!$G$5,2,TRUE,1)))</f>
        <v/>
      </c>
      <c r="AD128" s="23">
        <f>IF(I128="","",IF('分位数阈值'!$D$6="","",IFS(I128&gt;='分位数阈值'!$D$6,5,I128&gt;='分位数阈值'!$E$6,4,I128&gt;='分位数阈值'!$F$6,3,I128&gt;='分位数阈值'!$G$6,2,TRUE,1)))</f>
        <v/>
      </c>
      <c r="AE128" s="23">
        <f>IF(J128="","",IF('分位数阈值'!$D$7="","",IFS(J128&gt;='分位数阈值'!$D$7,5,J128&gt;='分位数阈值'!$E$7,4,J128&gt;='分位数阈值'!$F$7,3,J128&gt;='分位数阈值'!$G$7,2,TRUE,1)))</f>
        <v/>
      </c>
      <c r="AF128" s="23">
        <f>IF(K128="","",IF('分位数阈值'!$D$8="","",IFS(K128&gt;='分位数阈值'!$D$8,5,K128&gt;='分位数阈值'!$E$8,4,K128&gt;='分位数阈值'!$F$8,3,K128&gt;='分位数阈值'!$G$8,2,TRUE,1)))</f>
        <v/>
      </c>
      <c r="AG128" s="23">
        <f>IF(L128="","",IF('分位数阈值'!$D$9="","",IFS(L128&gt;='分位数阈值'!$D$9,5,L128&gt;='分位数阈值'!$E$9,4,L128&gt;='分位数阈值'!$F$9,3,L128&gt;='分位数阈值'!$G$9,2,TRUE,1)))</f>
        <v/>
      </c>
      <c r="AH128" s="23">
        <f>IF(M128="","",IF('分位数阈值'!$D$10="","",IFS(M128&lt;='分位数阈值'!$G$10,5,M128&lt;='分位数阈值'!$F$10,4,M128&lt;='分位数阈值'!$E$10,3,M128&lt;='分位数阈值'!$D$10,2,TRUE,1)))</f>
        <v/>
      </c>
      <c r="AI128" s="23">
        <f>IF(N128="","",IF('分位数阈值'!$D$11="","",IFS(N128&lt;='分位数阈值'!$G$11,5,N128&lt;='分位数阈值'!$F$11,4,N128&lt;='分位数阈值'!$E$11,3,N128&lt;='分位数阈值'!$D$11,2,TRUE,1)))</f>
        <v/>
      </c>
      <c r="AJ128" s="23">
        <f>IF(P128="","",IF(P128=1,1,5))</f>
        <v/>
      </c>
      <c r="AK128" s="23">
        <f>IF(Q128="","",IF(Q128=1,1,5))</f>
        <v/>
      </c>
      <c r="AL128" s="23">
        <f>IF(O128="","",IF('分位数阈值'!$D$12="","",IFS(O128&gt;='分位数阈值'!$D$12,5,O128&gt;='分位数阈值'!$E$12,4,O128&gt;='分位数阈值'!$F$12,3,O128&gt;='分位数阈值'!$G$12,2,TRUE,1)))</f>
        <v/>
      </c>
      <c r="AM128" s="23">
        <f>IF(R128="","",IF('分位数阈值'!$D$13="","",IFS(R128&lt;='分位数阈值'!$G$13,5,R128&lt;='分位数阈值'!$F$13,4,R128&lt;='分位数阈值'!$E$13,3,R128&lt;='分位数阈值'!$D$13,2,TRUE,1)))</f>
        <v/>
      </c>
      <c r="AN128" s="23">
        <f>IF(S128="","",IF('分位数阈值'!$D$14="","",IFS(S128&lt;='分位数阈值'!$G$14,5,S128&lt;='分位数阈值'!$F$14,4,S128&lt;='分位数阈值'!$E$14,3,S128&lt;='分位数阈值'!$D$14,2,TRUE,1)))</f>
        <v/>
      </c>
      <c r="AO128" s="23">
        <f>IF(T128="","",IF('分位数阈值'!$D$15="","",IFS(T128&lt;='分位数阈值'!$G$15,5,T128&lt;='分位数阈值'!$F$15,4,T128&lt;='分位数阈值'!$E$15,3,T128&lt;='分位数阈值'!$D$15,2,TRUE,1)))</f>
        <v/>
      </c>
      <c r="AP128" s="23">
        <f>IF(U128="","",IF(U128=1,5,1))</f>
        <v/>
      </c>
      <c r="AQ128" s="23">
        <f>IF(V128="","",V128)</f>
        <v/>
      </c>
      <c r="AR128" s="23">
        <f>IF(W128="","",IF('分位数阈值'!$D$16="","",IFS(W128&lt;='分位数阈值'!$G$16,5,W128&lt;='分位数阈值'!$F$16,4,W128&lt;='分位数阈值'!$E$16,3,W128&lt;='分位数阈值'!$D$16,2,TRUE,1)))</f>
        <v/>
      </c>
      <c r="AS128" s="23">
        <f>IF(X128="","",X128)</f>
        <v/>
      </c>
      <c r="AT128" s="23">
        <f>IF(Y128="","",Y128)</f>
        <v/>
      </c>
      <c r="AU128" s="10">
        <f>IF($A128="","",IF(OR(Z128=1,AR128=1,AJ128=1),"淘汰","通过"))</f>
        <v/>
      </c>
      <c r="AV128" s="10">
        <f>IF($A128="","",IF(OR(AA128=1,AR128=1,AND(AK128=1,AI128=1),AO128=1),"淘汰","通过"))</f>
        <v/>
      </c>
      <c r="AW128" s="24">
        <f>IF($A128="","",IF(AU128="淘汰","",ROUND(SUMPRODUCT(Z128:AT128,Z$2:AT$2)/5,1)))</f>
        <v/>
      </c>
      <c r="AX128" s="24">
        <f>IF($A128="","",IF(AV128="淘汰","",ROUND(SUMPRODUCT(Z128:AT128,Z$3:AT$3)/5,1)))</f>
        <v/>
      </c>
    </row>
    <row r="129" ht="15.75" customHeight="1" s="25">
      <c r="A129" s="22" t="n"/>
      <c r="B129" s="20" t="n"/>
      <c r="C129" s="22" t="n"/>
      <c r="D129" s="22" t="n"/>
      <c r="E129" s="22" t="n"/>
      <c r="F129" s="22" t="n"/>
      <c r="G129" s="21" t="n"/>
      <c r="H129" s="21" t="n"/>
      <c r="I129" s="21" t="n"/>
      <c r="J129" s="21" t="n"/>
      <c r="K129" s="21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3">
        <f>IF(E129="","",IF('分位数阈值'!$D$2="","",IFS(E129&gt;='分位数阈值'!$D$2,5,E129&gt;='分位数阈值'!$E$2,4,E129&gt;='分位数阈值'!$F$2,3,E129&gt;='分位数阈值'!$G$2,2,TRUE,1)))</f>
        <v/>
      </c>
      <c r="AA129" s="23">
        <f>IF(F129="","",IF('分位数阈值'!$D$3="","",IFS(F129&gt;='分位数阈值'!$D$3,5,F129&gt;='分位数阈值'!$E$3,4,F129&gt;='分位数阈值'!$F$3,3,F129&gt;='分位数阈值'!$G$3,2,TRUE,1)))</f>
        <v/>
      </c>
      <c r="AB129" s="23">
        <f>IF(G129="","",IF('分位数阈值'!$D$4="","",IFS(G129&gt;='分位数阈值'!$D$4,5,G129&gt;='分位数阈值'!$E$4,4,G129&gt;='分位数阈值'!$F$4,3,G129&gt;='分位数阈值'!$G$4,2,TRUE,1)))</f>
        <v/>
      </c>
      <c r="AC129" s="23">
        <f>IF(H129="","",IF('分位数阈值'!$D$5="","",IFS(H129&gt;='分位数阈值'!$D$5,5,H129&gt;='分位数阈值'!$E$5,4,H129&gt;='分位数阈值'!$F$5,3,H129&gt;='分位数阈值'!$G$5,2,TRUE,1)))</f>
        <v/>
      </c>
      <c r="AD129" s="23">
        <f>IF(I129="","",IF('分位数阈值'!$D$6="","",IFS(I129&gt;='分位数阈值'!$D$6,5,I129&gt;='分位数阈值'!$E$6,4,I129&gt;='分位数阈值'!$F$6,3,I129&gt;='分位数阈值'!$G$6,2,TRUE,1)))</f>
        <v/>
      </c>
      <c r="AE129" s="23">
        <f>IF(J129="","",IF('分位数阈值'!$D$7="","",IFS(J129&gt;='分位数阈值'!$D$7,5,J129&gt;='分位数阈值'!$E$7,4,J129&gt;='分位数阈值'!$F$7,3,J129&gt;='分位数阈值'!$G$7,2,TRUE,1)))</f>
        <v/>
      </c>
      <c r="AF129" s="23">
        <f>IF(K129="","",IF('分位数阈值'!$D$8="","",IFS(K129&gt;='分位数阈值'!$D$8,5,K129&gt;='分位数阈值'!$E$8,4,K129&gt;='分位数阈值'!$F$8,3,K129&gt;='分位数阈值'!$G$8,2,TRUE,1)))</f>
        <v/>
      </c>
      <c r="AG129" s="23">
        <f>IF(L129="","",IF('分位数阈值'!$D$9="","",IFS(L129&gt;='分位数阈值'!$D$9,5,L129&gt;='分位数阈值'!$E$9,4,L129&gt;='分位数阈值'!$F$9,3,L129&gt;='分位数阈值'!$G$9,2,TRUE,1)))</f>
        <v/>
      </c>
      <c r="AH129" s="23">
        <f>IF(M129="","",IF('分位数阈值'!$D$10="","",IFS(M129&lt;='分位数阈值'!$G$10,5,M129&lt;='分位数阈值'!$F$10,4,M129&lt;='分位数阈值'!$E$10,3,M129&lt;='分位数阈值'!$D$10,2,TRUE,1)))</f>
        <v/>
      </c>
      <c r="AI129" s="23">
        <f>IF(N129="","",IF('分位数阈值'!$D$11="","",IFS(N129&lt;='分位数阈值'!$G$11,5,N129&lt;='分位数阈值'!$F$11,4,N129&lt;='分位数阈值'!$E$11,3,N129&lt;='分位数阈值'!$D$11,2,TRUE,1)))</f>
        <v/>
      </c>
      <c r="AJ129" s="23">
        <f>IF(P129="","",IF(P129=1,1,5))</f>
        <v/>
      </c>
      <c r="AK129" s="23">
        <f>IF(Q129="","",IF(Q129=1,1,5))</f>
        <v/>
      </c>
      <c r="AL129" s="23">
        <f>IF(O129="","",IF('分位数阈值'!$D$12="","",IFS(O129&gt;='分位数阈值'!$D$12,5,O129&gt;='分位数阈值'!$E$12,4,O129&gt;='分位数阈值'!$F$12,3,O129&gt;='分位数阈值'!$G$12,2,TRUE,1)))</f>
        <v/>
      </c>
      <c r="AM129" s="23">
        <f>IF(R129="","",IF('分位数阈值'!$D$13="","",IFS(R129&lt;='分位数阈值'!$G$13,5,R129&lt;='分位数阈值'!$F$13,4,R129&lt;='分位数阈值'!$E$13,3,R129&lt;='分位数阈值'!$D$13,2,TRUE,1)))</f>
        <v/>
      </c>
      <c r="AN129" s="23">
        <f>IF(S129="","",IF('分位数阈值'!$D$14="","",IFS(S129&lt;='分位数阈值'!$G$14,5,S129&lt;='分位数阈值'!$F$14,4,S129&lt;='分位数阈值'!$E$14,3,S129&lt;='分位数阈值'!$D$14,2,TRUE,1)))</f>
        <v/>
      </c>
      <c r="AO129" s="23">
        <f>IF(T129="","",IF('分位数阈值'!$D$15="","",IFS(T129&lt;='分位数阈值'!$G$15,5,T129&lt;='分位数阈值'!$F$15,4,T129&lt;='分位数阈值'!$E$15,3,T129&lt;='分位数阈值'!$D$15,2,TRUE,1)))</f>
        <v/>
      </c>
      <c r="AP129" s="23">
        <f>IF(U129="","",IF(U129=1,5,1))</f>
        <v/>
      </c>
      <c r="AQ129" s="23">
        <f>IF(V129="","",V129)</f>
        <v/>
      </c>
      <c r="AR129" s="23">
        <f>IF(W129="","",IF('分位数阈值'!$D$16="","",IFS(W129&lt;='分位数阈值'!$G$16,5,W129&lt;='分位数阈值'!$F$16,4,W129&lt;='分位数阈值'!$E$16,3,W129&lt;='分位数阈值'!$D$16,2,TRUE,1)))</f>
        <v/>
      </c>
      <c r="AS129" s="23">
        <f>IF(X129="","",X129)</f>
        <v/>
      </c>
      <c r="AT129" s="23">
        <f>IF(Y129="","",Y129)</f>
        <v/>
      </c>
      <c r="AU129" s="10">
        <f>IF($A129="","",IF(OR(Z129=1,AR129=1,AJ129=1),"淘汰","通过"))</f>
        <v/>
      </c>
      <c r="AV129" s="10">
        <f>IF($A129="","",IF(OR(AA129=1,AR129=1,AND(AK129=1,AI129=1),AO129=1),"淘汰","通过"))</f>
        <v/>
      </c>
      <c r="AW129" s="24">
        <f>IF($A129="","",IF(AU129="淘汰","",ROUND(SUMPRODUCT(Z129:AT129,Z$2:AT$2)/5,1)))</f>
        <v/>
      </c>
      <c r="AX129" s="24">
        <f>IF($A129="","",IF(AV129="淘汰","",ROUND(SUMPRODUCT(Z129:AT129,Z$3:AT$3)/5,1)))</f>
        <v/>
      </c>
    </row>
    <row r="130" ht="15.75" customHeight="1" s="25">
      <c r="A130" s="22" t="n"/>
      <c r="B130" s="20" t="n"/>
      <c r="C130" s="22" t="n"/>
      <c r="D130" s="22" t="n"/>
      <c r="E130" s="22" t="n"/>
      <c r="F130" s="22" t="n"/>
      <c r="G130" s="21" t="n"/>
      <c r="H130" s="21" t="n"/>
      <c r="I130" s="21" t="n"/>
      <c r="J130" s="21" t="n"/>
      <c r="K130" s="21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3">
        <f>IF(E130="","",IF('分位数阈值'!$D$2="","",IFS(E130&gt;='分位数阈值'!$D$2,5,E130&gt;='分位数阈值'!$E$2,4,E130&gt;='分位数阈值'!$F$2,3,E130&gt;='分位数阈值'!$G$2,2,TRUE,1)))</f>
        <v/>
      </c>
      <c r="AA130" s="23">
        <f>IF(F130="","",IF('分位数阈值'!$D$3="","",IFS(F130&gt;='分位数阈值'!$D$3,5,F130&gt;='分位数阈值'!$E$3,4,F130&gt;='分位数阈值'!$F$3,3,F130&gt;='分位数阈值'!$G$3,2,TRUE,1)))</f>
        <v/>
      </c>
      <c r="AB130" s="23">
        <f>IF(G130="","",IF('分位数阈值'!$D$4="","",IFS(G130&gt;='分位数阈值'!$D$4,5,G130&gt;='分位数阈值'!$E$4,4,G130&gt;='分位数阈值'!$F$4,3,G130&gt;='分位数阈值'!$G$4,2,TRUE,1)))</f>
        <v/>
      </c>
      <c r="AC130" s="23">
        <f>IF(H130="","",IF('分位数阈值'!$D$5="","",IFS(H130&gt;='分位数阈值'!$D$5,5,H130&gt;='分位数阈值'!$E$5,4,H130&gt;='分位数阈值'!$F$5,3,H130&gt;='分位数阈值'!$G$5,2,TRUE,1)))</f>
        <v/>
      </c>
      <c r="AD130" s="23">
        <f>IF(I130="","",IF('分位数阈值'!$D$6="","",IFS(I130&gt;='分位数阈值'!$D$6,5,I130&gt;='分位数阈值'!$E$6,4,I130&gt;='分位数阈值'!$F$6,3,I130&gt;='分位数阈值'!$G$6,2,TRUE,1)))</f>
        <v/>
      </c>
      <c r="AE130" s="23">
        <f>IF(J130="","",IF('分位数阈值'!$D$7="","",IFS(J130&gt;='分位数阈值'!$D$7,5,J130&gt;='分位数阈值'!$E$7,4,J130&gt;='分位数阈值'!$F$7,3,J130&gt;='分位数阈值'!$G$7,2,TRUE,1)))</f>
        <v/>
      </c>
      <c r="AF130" s="23">
        <f>IF(K130="","",IF('分位数阈值'!$D$8="","",IFS(K130&gt;='分位数阈值'!$D$8,5,K130&gt;='分位数阈值'!$E$8,4,K130&gt;='分位数阈值'!$F$8,3,K130&gt;='分位数阈值'!$G$8,2,TRUE,1)))</f>
        <v/>
      </c>
      <c r="AG130" s="23">
        <f>IF(L130="","",IF('分位数阈值'!$D$9="","",IFS(L130&gt;='分位数阈值'!$D$9,5,L130&gt;='分位数阈值'!$E$9,4,L130&gt;='分位数阈值'!$F$9,3,L130&gt;='分位数阈值'!$G$9,2,TRUE,1)))</f>
        <v/>
      </c>
      <c r="AH130" s="23">
        <f>IF(M130="","",IF('分位数阈值'!$D$10="","",IFS(M130&lt;='分位数阈值'!$G$10,5,M130&lt;='分位数阈值'!$F$10,4,M130&lt;='分位数阈值'!$E$10,3,M130&lt;='分位数阈值'!$D$10,2,TRUE,1)))</f>
        <v/>
      </c>
      <c r="AI130" s="23">
        <f>IF(N130="","",IF('分位数阈值'!$D$11="","",IFS(N130&lt;='分位数阈值'!$G$11,5,N130&lt;='分位数阈值'!$F$11,4,N130&lt;='分位数阈值'!$E$11,3,N130&lt;='分位数阈值'!$D$11,2,TRUE,1)))</f>
        <v/>
      </c>
      <c r="AJ130" s="23">
        <f>IF(P130="","",IF(P130=1,1,5))</f>
        <v/>
      </c>
      <c r="AK130" s="23">
        <f>IF(Q130="","",IF(Q130=1,1,5))</f>
        <v/>
      </c>
      <c r="AL130" s="23">
        <f>IF(O130="","",IF('分位数阈值'!$D$12="","",IFS(O130&gt;='分位数阈值'!$D$12,5,O130&gt;='分位数阈值'!$E$12,4,O130&gt;='分位数阈值'!$F$12,3,O130&gt;='分位数阈值'!$G$12,2,TRUE,1)))</f>
        <v/>
      </c>
      <c r="AM130" s="23">
        <f>IF(R130="","",IF('分位数阈值'!$D$13="","",IFS(R130&lt;='分位数阈值'!$G$13,5,R130&lt;='分位数阈值'!$F$13,4,R130&lt;='分位数阈值'!$E$13,3,R130&lt;='分位数阈值'!$D$13,2,TRUE,1)))</f>
        <v/>
      </c>
      <c r="AN130" s="23">
        <f>IF(S130="","",IF('分位数阈值'!$D$14="","",IFS(S130&lt;='分位数阈值'!$G$14,5,S130&lt;='分位数阈值'!$F$14,4,S130&lt;='分位数阈值'!$E$14,3,S130&lt;='分位数阈值'!$D$14,2,TRUE,1)))</f>
        <v/>
      </c>
      <c r="AO130" s="23">
        <f>IF(T130="","",IF('分位数阈值'!$D$15="","",IFS(T130&lt;='分位数阈值'!$G$15,5,T130&lt;='分位数阈值'!$F$15,4,T130&lt;='分位数阈值'!$E$15,3,T130&lt;='分位数阈值'!$D$15,2,TRUE,1)))</f>
        <v/>
      </c>
      <c r="AP130" s="23">
        <f>IF(U130="","",IF(U130=1,5,1))</f>
        <v/>
      </c>
      <c r="AQ130" s="23">
        <f>IF(V130="","",V130)</f>
        <v/>
      </c>
      <c r="AR130" s="23">
        <f>IF(W130="","",IF('分位数阈值'!$D$16="","",IFS(W130&lt;='分位数阈值'!$G$16,5,W130&lt;='分位数阈值'!$F$16,4,W130&lt;='分位数阈值'!$E$16,3,W130&lt;='分位数阈值'!$D$16,2,TRUE,1)))</f>
        <v/>
      </c>
      <c r="AS130" s="23">
        <f>IF(X130="","",X130)</f>
        <v/>
      </c>
      <c r="AT130" s="23">
        <f>IF(Y130="","",Y130)</f>
        <v/>
      </c>
      <c r="AU130" s="10">
        <f>IF($A130="","",IF(OR(Z130=1,AR130=1,AJ130=1),"淘汰","通过"))</f>
        <v/>
      </c>
      <c r="AV130" s="10">
        <f>IF($A130="","",IF(OR(AA130=1,AR130=1,AND(AK130=1,AI130=1),AO130=1),"淘汰","通过"))</f>
        <v/>
      </c>
      <c r="AW130" s="24">
        <f>IF($A130="","",IF(AU130="淘汰","",ROUND(SUMPRODUCT(Z130:AT130,Z$2:AT$2)/5,1)))</f>
        <v/>
      </c>
      <c r="AX130" s="24">
        <f>IF($A130="","",IF(AV130="淘汰","",ROUND(SUMPRODUCT(Z130:AT130,Z$3:AT$3)/5,1)))</f>
        <v/>
      </c>
    </row>
    <row r="131" ht="15.75" customHeight="1" s="25">
      <c r="A131" s="22" t="n"/>
      <c r="B131" s="20" t="n"/>
      <c r="C131" s="22" t="n"/>
      <c r="D131" s="22" t="n"/>
      <c r="E131" s="22" t="n"/>
      <c r="F131" s="22" t="n"/>
      <c r="G131" s="21" t="n"/>
      <c r="H131" s="21" t="n"/>
      <c r="I131" s="21" t="n"/>
      <c r="J131" s="21" t="n"/>
      <c r="K131" s="21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3">
        <f>IF(E131="","",IF('分位数阈值'!$D$2="","",IFS(E131&gt;='分位数阈值'!$D$2,5,E131&gt;='分位数阈值'!$E$2,4,E131&gt;='分位数阈值'!$F$2,3,E131&gt;='分位数阈值'!$G$2,2,TRUE,1)))</f>
        <v/>
      </c>
      <c r="AA131" s="23">
        <f>IF(F131="","",IF('分位数阈值'!$D$3="","",IFS(F131&gt;='分位数阈值'!$D$3,5,F131&gt;='分位数阈值'!$E$3,4,F131&gt;='分位数阈值'!$F$3,3,F131&gt;='分位数阈值'!$G$3,2,TRUE,1)))</f>
        <v/>
      </c>
      <c r="AB131" s="23">
        <f>IF(G131="","",IF('分位数阈值'!$D$4="","",IFS(G131&gt;='分位数阈值'!$D$4,5,G131&gt;='分位数阈值'!$E$4,4,G131&gt;='分位数阈值'!$F$4,3,G131&gt;='分位数阈值'!$G$4,2,TRUE,1)))</f>
        <v/>
      </c>
      <c r="AC131" s="23">
        <f>IF(H131="","",IF('分位数阈值'!$D$5="","",IFS(H131&gt;='分位数阈值'!$D$5,5,H131&gt;='分位数阈值'!$E$5,4,H131&gt;='分位数阈值'!$F$5,3,H131&gt;='分位数阈值'!$G$5,2,TRUE,1)))</f>
        <v/>
      </c>
      <c r="AD131" s="23">
        <f>IF(I131="","",IF('分位数阈值'!$D$6="","",IFS(I131&gt;='分位数阈值'!$D$6,5,I131&gt;='分位数阈值'!$E$6,4,I131&gt;='分位数阈值'!$F$6,3,I131&gt;='分位数阈值'!$G$6,2,TRUE,1)))</f>
        <v/>
      </c>
      <c r="AE131" s="23">
        <f>IF(J131="","",IF('分位数阈值'!$D$7="","",IFS(J131&gt;='分位数阈值'!$D$7,5,J131&gt;='分位数阈值'!$E$7,4,J131&gt;='分位数阈值'!$F$7,3,J131&gt;='分位数阈值'!$G$7,2,TRUE,1)))</f>
        <v/>
      </c>
      <c r="AF131" s="23">
        <f>IF(K131="","",IF('分位数阈值'!$D$8="","",IFS(K131&gt;='分位数阈值'!$D$8,5,K131&gt;='分位数阈值'!$E$8,4,K131&gt;='分位数阈值'!$F$8,3,K131&gt;='分位数阈值'!$G$8,2,TRUE,1)))</f>
        <v/>
      </c>
      <c r="AG131" s="23">
        <f>IF(L131="","",IF('分位数阈值'!$D$9="","",IFS(L131&gt;='分位数阈值'!$D$9,5,L131&gt;='分位数阈值'!$E$9,4,L131&gt;='分位数阈值'!$F$9,3,L131&gt;='分位数阈值'!$G$9,2,TRUE,1)))</f>
        <v/>
      </c>
      <c r="AH131" s="23">
        <f>IF(M131="","",IF('分位数阈值'!$D$10="","",IFS(M131&lt;='分位数阈值'!$G$10,5,M131&lt;='分位数阈值'!$F$10,4,M131&lt;='分位数阈值'!$E$10,3,M131&lt;='分位数阈值'!$D$10,2,TRUE,1)))</f>
        <v/>
      </c>
      <c r="AI131" s="23">
        <f>IF(N131="","",IF('分位数阈值'!$D$11="","",IFS(N131&lt;='分位数阈值'!$G$11,5,N131&lt;='分位数阈值'!$F$11,4,N131&lt;='分位数阈值'!$E$11,3,N131&lt;='分位数阈值'!$D$11,2,TRUE,1)))</f>
        <v/>
      </c>
      <c r="AJ131" s="23">
        <f>IF(P131="","",IF(P131=1,1,5))</f>
        <v/>
      </c>
      <c r="AK131" s="23">
        <f>IF(Q131="","",IF(Q131=1,1,5))</f>
        <v/>
      </c>
      <c r="AL131" s="23">
        <f>IF(O131="","",IF('分位数阈值'!$D$12="","",IFS(O131&gt;='分位数阈值'!$D$12,5,O131&gt;='分位数阈值'!$E$12,4,O131&gt;='分位数阈值'!$F$12,3,O131&gt;='分位数阈值'!$G$12,2,TRUE,1)))</f>
        <v/>
      </c>
      <c r="AM131" s="23">
        <f>IF(R131="","",IF('分位数阈值'!$D$13="","",IFS(R131&lt;='分位数阈值'!$G$13,5,R131&lt;='分位数阈值'!$F$13,4,R131&lt;='分位数阈值'!$E$13,3,R131&lt;='分位数阈值'!$D$13,2,TRUE,1)))</f>
        <v/>
      </c>
      <c r="AN131" s="23">
        <f>IF(S131="","",IF('分位数阈值'!$D$14="","",IFS(S131&lt;='分位数阈值'!$G$14,5,S131&lt;='分位数阈值'!$F$14,4,S131&lt;='分位数阈值'!$E$14,3,S131&lt;='分位数阈值'!$D$14,2,TRUE,1)))</f>
        <v/>
      </c>
      <c r="AO131" s="23">
        <f>IF(T131="","",IF('分位数阈值'!$D$15="","",IFS(T131&lt;='分位数阈值'!$G$15,5,T131&lt;='分位数阈值'!$F$15,4,T131&lt;='分位数阈值'!$E$15,3,T131&lt;='分位数阈值'!$D$15,2,TRUE,1)))</f>
        <v/>
      </c>
      <c r="AP131" s="23">
        <f>IF(U131="","",IF(U131=1,5,1))</f>
        <v/>
      </c>
      <c r="AQ131" s="23">
        <f>IF(V131="","",V131)</f>
        <v/>
      </c>
      <c r="AR131" s="23">
        <f>IF(W131="","",IF('分位数阈值'!$D$16="","",IFS(W131&lt;='分位数阈值'!$G$16,5,W131&lt;='分位数阈值'!$F$16,4,W131&lt;='分位数阈值'!$E$16,3,W131&lt;='分位数阈值'!$D$16,2,TRUE,1)))</f>
        <v/>
      </c>
      <c r="AS131" s="23">
        <f>IF(X131="","",X131)</f>
        <v/>
      </c>
      <c r="AT131" s="23">
        <f>IF(Y131="","",Y131)</f>
        <v/>
      </c>
      <c r="AU131" s="10">
        <f>IF($A131="","",IF(OR(Z131=1,AR131=1,AJ131=1),"淘汰","通过"))</f>
        <v/>
      </c>
      <c r="AV131" s="10">
        <f>IF($A131="","",IF(OR(AA131=1,AR131=1,AND(AK131=1,AI131=1),AO131=1),"淘汰","通过"))</f>
        <v/>
      </c>
      <c r="AW131" s="24">
        <f>IF($A131="","",IF(AU131="淘汰","",ROUND(SUMPRODUCT(Z131:AT131,Z$2:AT$2)/5,1)))</f>
        <v/>
      </c>
      <c r="AX131" s="24">
        <f>IF($A131="","",IF(AV131="淘汰","",ROUND(SUMPRODUCT(Z131:AT131,Z$3:AT$3)/5,1)))</f>
        <v/>
      </c>
    </row>
    <row r="132" ht="15.75" customHeight="1" s="25">
      <c r="A132" s="22" t="n"/>
      <c r="B132" s="20" t="n"/>
      <c r="C132" s="22" t="n"/>
      <c r="D132" s="22" t="n"/>
      <c r="E132" s="22" t="n"/>
      <c r="F132" s="22" t="n"/>
      <c r="G132" s="21" t="n"/>
      <c r="H132" s="21" t="n"/>
      <c r="I132" s="21" t="n"/>
      <c r="J132" s="21" t="n"/>
      <c r="K132" s="21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3">
        <f>IF(E132="","",IF('分位数阈值'!$D$2="","",IFS(E132&gt;='分位数阈值'!$D$2,5,E132&gt;='分位数阈值'!$E$2,4,E132&gt;='分位数阈值'!$F$2,3,E132&gt;='分位数阈值'!$G$2,2,TRUE,1)))</f>
        <v/>
      </c>
      <c r="AA132" s="23">
        <f>IF(F132="","",IF('分位数阈值'!$D$3="","",IFS(F132&gt;='分位数阈值'!$D$3,5,F132&gt;='分位数阈值'!$E$3,4,F132&gt;='分位数阈值'!$F$3,3,F132&gt;='分位数阈值'!$G$3,2,TRUE,1)))</f>
        <v/>
      </c>
      <c r="AB132" s="23">
        <f>IF(G132="","",IF('分位数阈值'!$D$4="","",IFS(G132&gt;='分位数阈值'!$D$4,5,G132&gt;='分位数阈值'!$E$4,4,G132&gt;='分位数阈值'!$F$4,3,G132&gt;='分位数阈值'!$G$4,2,TRUE,1)))</f>
        <v/>
      </c>
      <c r="AC132" s="23">
        <f>IF(H132="","",IF('分位数阈值'!$D$5="","",IFS(H132&gt;='分位数阈值'!$D$5,5,H132&gt;='分位数阈值'!$E$5,4,H132&gt;='分位数阈值'!$F$5,3,H132&gt;='分位数阈值'!$G$5,2,TRUE,1)))</f>
        <v/>
      </c>
      <c r="AD132" s="23">
        <f>IF(I132="","",IF('分位数阈值'!$D$6="","",IFS(I132&gt;='分位数阈值'!$D$6,5,I132&gt;='分位数阈值'!$E$6,4,I132&gt;='分位数阈值'!$F$6,3,I132&gt;='分位数阈值'!$G$6,2,TRUE,1)))</f>
        <v/>
      </c>
      <c r="AE132" s="23">
        <f>IF(J132="","",IF('分位数阈值'!$D$7="","",IFS(J132&gt;='分位数阈值'!$D$7,5,J132&gt;='分位数阈值'!$E$7,4,J132&gt;='分位数阈值'!$F$7,3,J132&gt;='分位数阈值'!$G$7,2,TRUE,1)))</f>
        <v/>
      </c>
      <c r="AF132" s="23">
        <f>IF(K132="","",IF('分位数阈值'!$D$8="","",IFS(K132&gt;='分位数阈值'!$D$8,5,K132&gt;='分位数阈值'!$E$8,4,K132&gt;='分位数阈值'!$F$8,3,K132&gt;='分位数阈值'!$G$8,2,TRUE,1)))</f>
        <v/>
      </c>
      <c r="AG132" s="23">
        <f>IF(L132="","",IF('分位数阈值'!$D$9="","",IFS(L132&gt;='分位数阈值'!$D$9,5,L132&gt;='分位数阈值'!$E$9,4,L132&gt;='分位数阈值'!$F$9,3,L132&gt;='分位数阈值'!$G$9,2,TRUE,1)))</f>
        <v/>
      </c>
      <c r="AH132" s="23">
        <f>IF(M132="","",IF('分位数阈值'!$D$10="","",IFS(M132&lt;='分位数阈值'!$G$10,5,M132&lt;='分位数阈值'!$F$10,4,M132&lt;='分位数阈值'!$E$10,3,M132&lt;='分位数阈值'!$D$10,2,TRUE,1)))</f>
        <v/>
      </c>
      <c r="AI132" s="23">
        <f>IF(N132="","",IF('分位数阈值'!$D$11="","",IFS(N132&lt;='分位数阈值'!$G$11,5,N132&lt;='分位数阈值'!$F$11,4,N132&lt;='分位数阈值'!$E$11,3,N132&lt;='分位数阈值'!$D$11,2,TRUE,1)))</f>
        <v/>
      </c>
      <c r="AJ132" s="23">
        <f>IF(P132="","",IF(P132=1,1,5))</f>
        <v/>
      </c>
      <c r="AK132" s="23">
        <f>IF(Q132="","",IF(Q132=1,1,5))</f>
        <v/>
      </c>
      <c r="AL132" s="23">
        <f>IF(O132="","",IF('分位数阈值'!$D$12="","",IFS(O132&gt;='分位数阈值'!$D$12,5,O132&gt;='分位数阈值'!$E$12,4,O132&gt;='分位数阈值'!$F$12,3,O132&gt;='分位数阈值'!$G$12,2,TRUE,1)))</f>
        <v/>
      </c>
      <c r="AM132" s="23">
        <f>IF(R132="","",IF('分位数阈值'!$D$13="","",IFS(R132&lt;='分位数阈值'!$G$13,5,R132&lt;='分位数阈值'!$F$13,4,R132&lt;='分位数阈值'!$E$13,3,R132&lt;='分位数阈值'!$D$13,2,TRUE,1)))</f>
        <v/>
      </c>
      <c r="AN132" s="23">
        <f>IF(S132="","",IF('分位数阈值'!$D$14="","",IFS(S132&lt;='分位数阈值'!$G$14,5,S132&lt;='分位数阈值'!$F$14,4,S132&lt;='分位数阈值'!$E$14,3,S132&lt;='分位数阈值'!$D$14,2,TRUE,1)))</f>
        <v/>
      </c>
      <c r="AO132" s="23">
        <f>IF(T132="","",IF('分位数阈值'!$D$15="","",IFS(T132&lt;='分位数阈值'!$G$15,5,T132&lt;='分位数阈值'!$F$15,4,T132&lt;='分位数阈值'!$E$15,3,T132&lt;='分位数阈值'!$D$15,2,TRUE,1)))</f>
        <v/>
      </c>
      <c r="AP132" s="23">
        <f>IF(U132="","",IF(U132=1,5,1))</f>
        <v/>
      </c>
      <c r="AQ132" s="23">
        <f>IF(V132="","",V132)</f>
        <v/>
      </c>
      <c r="AR132" s="23">
        <f>IF(W132="","",IF('分位数阈值'!$D$16="","",IFS(W132&lt;='分位数阈值'!$G$16,5,W132&lt;='分位数阈值'!$F$16,4,W132&lt;='分位数阈值'!$E$16,3,W132&lt;='分位数阈值'!$D$16,2,TRUE,1)))</f>
        <v/>
      </c>
      <c r="AS132" s="23">
        <f>IF(X132="","",X132)</f>
        <v/>
      </c>
      <c r="AT132" s="23">
        <f>IF(Y132="","",Y132)</f>
        <v/>
      </c>
      <c r="AU132" s="10">
        <f>IF($A132="","",IF(OR(Z132=1,AR132=1,AJ132=1),"淘汰","通过"))</f>
        <v/>
      </c>
      <c r="AV132" s="10">
        <f>IF($A132="","",IF(OR(AA132=1,AR132=1,AND(AK132=1,AI132=1),AO132=1),"淘汰","通过"))</f>
        <v/>
      </c>
      <c r="AW132" s="24">
        <f>IF($A132="","",IF(AU132="淘汰","",ROUND(SUMPRODUCT(Z132:AT132,Z$2:AT$2)/5,1)))</f>
        <v/>
      </c>
      <c r="AX132" s="24">
        <f>IF($A132="","",IF(AV132="淘汰","",ROUND(SUMPRODUCT(Z132:AT132,Z$3:AT$3)/5,1)))</f>
        <v/>
      </c>
    </row>
    <row r="133" ht="15.75" customHeight="1" s="25">
      <c r="A133" s="22" t="n"/>
      <c r="B133" s="20" t="n"/>
      <c r="C133" s="22" t="n"/>
      <c r="D133" s="22" t="n"/>
      <c r="E133" s="22" t="n"/>
      <c r="F133" s="22" t="n"/>
      <c r="G133" s="21" t="n"/>
      <c r="H133" s="21" t="n"/>
      <c r="I133" s="21" t="n"/>
      <c r="J133" s="21" t="n"/>
      <c r="K133" s="21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3">
        <f>IF(E133="","",IF('分位数阈值'!$D$2="","",IFS(E133&gt;='分位数阈值'!$D$2,5,E133&gt;='分位数阈值'!$E$2,4,E133&gt;='分位数阈值'!$F$2,3,E133&gt;='分位数阈值'!$G$2,2,TRUE,1)))</f>
        <v/>
      </c>
      <c r="AA133" s="23">
        <f>IF(F133="","",IF('分位数阈值'!$D$3="","",IFS(F133&gt;='分位数阈值'!$D$3,5,F133&gt;='分位数阈值'!$E$3,4,F133&gt;='分位数阈值'!$F$3,3,F133&gt;='分位数阈值'!$G$3,2,TRUE,1)))</f>
        <v/>
      </c>
      <c r="AB133" s="23">
        <f>IF(G133="","",IF('分位数阈值'!$D$4="","",IFS(G133&gt;='分位数阈值'!$D$4,5,G133&gt;='分位数阈值'!$E$4,4,G133&gt;='分位数阈值'!$F$4,3,G133&gt;='分位数阈值'!$G$4,2,TRUE,1)))</f>
        <v/>
      </c>
      <c r="AC133" s="23">
        <f>IF(H133="","",IF('分位数阈值'!$D$5="","",IFS(H133&gt;='分位数阈值'!$D$5,5,H133&gt;='分位数阈值'!$E$5,4,H133&gt;='分位数阈值'!$F$5,3,H133&gt;='分位数阈值'!$G$5,2,TRUE,1)))</f>
        <v/>
      </c>
      <c r="AD133" s="23">
        <f>IF(I133="","",IF('分位数阈值'!$D$6="","",IFS(I133&gt;='分位数阈值'!$D$6,5,I133&gt;='分位数阈值'!$E$6,4,I133&gt;='分位数阈值'!$F$6,3,I133&gt;='分位数阈值'!$G$6,2,TRUE,1)))</f>
        <v/>
      </c>
      <c r="AE133" s="23">
        <f>IF(J133="","",IF('分位数阈值'!$D$7="","",IFS(J133&gt;='分位数阈值'!$D$7,5,J133&gt;='分位数阈值'!$E$7,4,J133&gt;='分位数阈值'!$F$7,3,J133&gt;='分位数阈值'!$G$7,2,TRUE,1)))</f>
        <v/>
      </c>
      <c r="AF133" s="23">
        <f>IF(K133="","",IF('分位数阈值'!$D$8="","",IFS(K133&gt;='分位数阈值'!$D$8,5,K133&gt;='分位数阈值'!$E$8,4,K133&gt;='分位数阈值'!$F$8,3,K133&gt;='分位数阈值'!$G$8,2,TRUE,1)))</f>
        <v/>
      </c>
      <c r="AG133" s="23">
        <f>IF(L133="","",IF('分位数阈值'!$D$9="","",IFS(L133&gt;='分位数阈值'!$D$9,5,L133&gt;='分位数阈值'!$E$9,4,L133&gt;='分位数阈值'!$F$9,3,L133&gt;='分位数阈值'!$G$9,2,TRUE,1)))</f>
        <v/>
      </c>
      <c r="AH133" s="23">
        <f>IF(M133="","",IF('分位数阈值'!$D$10="","",IFS(M133&lt;='分位数阈值'!$G$10,5,M133&lt;='分位数阈值'!$F$10,4,M133&lt;='分位数阈值'!$E$10,3,M133&lt;='分位数阈值'!$D$10,2,TRUE,1)))</f>
        <v/>
      </c>
      <c r="AI133" s="23">
        <f>IF(N133="","",IF('分位数阈值'!$D$11="","",IFS(N133&lt;='分位数阈值'!$G$11,5,N133&lt;='分位数阈值'!$F$11,4,N133&lt;='分位数阈值'!$E$11,3,N133&lt;='分位数阈值'!$D$11,2,TRUE,1)))</f>
        <v/>
      </c>
      <c r="AJ133" s="23">
        <f>IF(P133="","",IF(P133=1,1,5))</f>
        <v/>
      </c>
      <c r="AK133" s="23">
        <f>IF(Q133="","",IF(Q133=1,1,5))</f>
        <v/>
      </c>
      <c r="AL133" s="23">
        <f>IF(O133="","",IF('分位数阈值'!$D$12="","",IFS(O133&gt;='分位数阈值'!$D$12,5,O133&gt;='分位数阈值'!$E$12,4,O133&gt;='分位数阈值'!$F$12,3,O133&gt;='分位数阈值'!$G$12,2,TRUE,1)))</f>
        <v/>
      </c>
      <c r="AM133" s="23">
        <f>IF(R133="","",IF('分位数阈值'!$D$13="","",IFS(R133&lt;='分位数阈值'!$G$13,5,R133&lt;='分位数阈值'!$F$13,4,R133&lt;='分位数阈值'!$E$13,3,R133&lt;='分位数阈值'!$D$13,2,TRUE,1)))</f>
        <v/>
      </c>
      <c r="AN133" s="23">
        <f>IF(S133="","",IF('分位数阈值'!$D$14="","",IFS(S133&lt;='分位数阈值'!$G$14,5,S133&lt;='分位数阈值'!$F$14,4,S133&lt;='分位数阈值'!$E$14,3,S133&lt;='分位数阈值'!$D$14,2,TRUE,1)))</f>
        <v/>
      </c>
      <c r="AO133" s="23">
        <f>IF(T133="","",IF('分位数阈值'!$D$15="","",IFS(T133&lt;='分位数阈值'!$G$15,5,T133&lt;='分位数阈值'!$F$15,4,T133&lt;='分位数阈值'!$E$15,3,T133&lt;='分位数阈值'!$D$15,2,TRUE,1)))</f>
        <v/>
      </c>
      <c r="AP133" s="23">
        <f>IF(U133="","",IF(U133=1,5,1))</f>
        <v/>
      </c>
      <c r="AQ133" s="23">
        <f>IF(V133="","",V133)</f>
        <v/>
      </c>
      <c r="AR133" s="23">
        <f>IF(W133="","",IF('分位数阈值'!$D$16="","",IFS(W133&lt;='分位数阈值'!$G$16,5,W133&lt;='分位数阈值'!$F$16,4,W133&lt;='分位数阈值'!$E$16,3,W133&lt;='分位数阈值'!$D$16,2,TRUE,1)))</f>
        <v/>
      </c>
      <c r="AS133" s="23">
        <f>IF(X133="","",X133)</f>
        <v/>
      </c>
      <c r="AT133" s="23">
        <f>IF(Y133="","",Y133)</f>
        <v/>
      </c>
      <c r="AU133" s="10">
        <f>IF($A133="","",IF(OR(Z133=1,AR133=1,AJ133=1),"淘汰","通过"))</f>
        <v/>
      </c>
      <c r="AV133" s="10">
        <f>IF($A133="","",IF(OR(AA133=1,AR133=1,AND(AK133=1,AI133=1),AO133=1),"淘汰","通过"))</f>
        <v/>
      </c>
      <c r="AW133" s="24">
        <f>IF($A133="","",IF(AU133="淘汰","",ROUND(SUMPRODUCT(Z133:AT133,Z$2:AT$2)/5,1)))</f>
        <v/>
      </c>
      <c r="AX133" s="24">
        <f>IF($A133="","",IF(AV133="淘汰","",ROUND(SUMPRODUCT(Z133:AT133,Z$3:AT$3)/5,1)))</f>
        <v/>
      </c>
    </row>
    <row r="134" ht="15.75" customHeight="1" s="25">
      <c r="A134" s="22" t="n"/>
      <c r="B134" s="20" t="n"/>
      <c r="C134" s="22" t="n"/>
      <c r="D134" s="22" t="n"/>
      <c r="E134" s="22" t="n"/>
      <c r="F134" s="22" t="n"/>
      <c r="G134" s="21" t="n"/>
      <c r="H134" s="21" t="n"/>
      <c r="I134" s="21" t="n"/>
      <c r="J134" s="21" t="n"/>
      <c r="K134" s="21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3">
        <f>IF(E134="","",IF('分位数阈值'!$D$2="","",IFS(E134&gt;='分位数阈值'!$D$2,5,E134&gt;='分位数阈值'!$E$2,4,E134&gt;='分位数阈值'!$F$2,3,E134&gt;='分位数阈值'!$G$2,2,TRUE,1)))</f>
        <v/>
      </c>
      <c r="AA134" s="23">
        <f>IF(F134="","",IF('分位数阈值'!$D$3="","",IFS(F134&gt;='分位数阈值'!$D$3,5,F134&gt;='分位数阈值'!$E$3,4,F134&gt;='分位数阈值'!$F$3,3,F134&gt;='分位数阈值'!$G$3,2,TRUE,1)))</f>
        <v/>
      </c>
      <c r="AB134" s="23">
        <f>IF(G134="","",IF('分位数阈值'!$D$4="","",IFS(G134&gt;='分位数阈值'!$D$4,5,G134&gt;='分位数阈值'!$E$4,4,G134&gt;='分位数阈值'!$F$4,3,G134&gt;='分位数阈值'!$G$4,2,TRUE,1)))</f>
        <v/>
      </c>
      <c r="AC134" s="23">
        <f>IF(H134="","",IF('分位数阈值'!$D$5="","",IFS(H134&gt;='分位数阈值'!$D$5,5,H134&gt;='分位数阈值'!$E$5,4,H134&gt;='分位数阈值'!$F$5,3,H134&gt;='分位数阈值'!$G$5,2,TRUE,1)))</f>
        <v/>
      </c>
      <c r="AD134" s="23">
        <f>IF(I134="","",IF('分位数阈值'!$D$6="","",IFS(I134&gt;='分位数阈值'!$D$6,5,I134&gt;='分位数阈值'!$E$6,4,I134&gt;='分位数阈值'!$F$6,3,I134&gt;='分位数阈值'!$G$6,2,TRUE,1)))</f>
        <v/>
      </c>
      <c r="AE134" s="23">
        <f>IF(J134="","",IF('分位数阈值'!$D$7="","",IFS(J134&gt;='分位数阈值'!$D$7,5,J134&gt;='分位数阈值'!$E$7,4,J134&gt;='分位数阈值'!$F$7,3,J134&gt;='分位数阈值'!$G$7,2,TRUE,1)))</f>
        <v/>
      </c>
      <c r="AF134" s="23">
        <f>IF(K134="","",IF('分位数阈值'!$D$8="","",IFS(K134&gt;='分位数阈值'!$D$8,5,K134&gt;='分位数阈值'!$E$8,4,K134&gt;='分位数阈值'!$F$8,3,K134&gt;='分位数阈值'!$G$8,2,TRUE,1)))</f>
        <v/>
      </c>
      <c r="AG134" s="23">
        <f>IF(L134="","",IF('分位数阈值'!$D$9="","",IFS(L134&gt;='分位数阈值'!$D$9,5,L134&gt;='分位数阈值'!$E$9,4,L134&gt;='分位数阈值'!$F$9,3,L134&gt;='分位数阈值'!$G$9,2,TRUE,1)))</f>
        <v/>
      </c>
      <c r="AH134" s="23">
        <f>IF(M134="","",IF('分位数阈值'!$D$10="","",IFS(M134&lt;='分位数阈值'!$G$10,5,M134&lt;='分位数阈值'!$F$10,4,M134&lt;='分位数阈值'!$E$10,3,M134&lt;='分位数阈值'!$D$10,2,TRUE,1)))</f>
        <v/>
      </c>
      <c r="AI134" s="23">
        <f>IF(N134="","",IF('分位数阈值'!$D$11="","",IFS(N134&lt;='分位数阈值'!$G$11,5,N134&lt;='分位数阈值'!$F$11,4,N134&lt;='分位数阈值'!$E$11,3,N134&lt;='分位数阈值'!$D$11,2,TRUE,1)))</f>
        <v/>
      </c>
      <c r="AJ134" s="23">
        <f>IF(P134="","",IF(P134=1,1,5))</f>
        <v/>
      </c>
      <c r="AK134" s="23">
        <f>IF(Q134="","",IF(Q134=1,1,5))</f>
        <v/>
      </c>
      <c r="AL134" s="23">
        <f>IF(O134="","",IF('分位数阈值'!$D$12="","",IFS(O134&gt;='分位数阈值'!$D$12,5,O134&gt;='分位数阈值'!$E$12,4,O134&gt;='分位数阈值'!$F$12,3,O134&gt;='分位数阈值'!$G$12,2,TRUE,1)))</f>
        <v/>
      </c>
      <c r="AM134" s="23">
        <f>IF(R134="","",IF('分位数阈值'!$D$13="","",IFS(R134&lt;='分位数阈值'!$G$13,5,R134&lt;='分位数阈值'!$F$13,4,R134&lt;='分位数阈值'!$E$13,3,R134&lt;='分位数阈值'!$D$13,2,TRUE,1)))</f>
        <v/>
      </c>
      <c r="AN134" s="23">
        <f>IF(S134="","",IF('分位数阈值'!$D$14="","",IFS(S134&lt;='分位数阈值'!$G$14,5,S134&lt;='分位数阈值'!$F$14,4,S134&lt;='分位数阈值'!$E$14,3,S134&lt;='分位数阈值'!$D$14,2,TRUE,1)))</f>
        <v/>
      </c>
      <c r="AO134" s="23">
        <f>IF(T134="","",IF('分位数阈值'!$D$15="","",IFS(T134&lt;='分位数阈值'!$G$15,5,T134&lt;='分位数阈值'!$F$15,4,T134&lt;='分位数阈值'!$E$15,3,T134&lt;='分位数阈值'!$D$15,2,TRUE,1)))</f>
        <v/>
      </c>
      <c r="AP134" s="23">
        <f>IF(U134="","",IF(U134=1,5,1))</f>
        <v/>
      </c>
      <c r="AQ134" s="23">
        <f>IF(V134="","",V134)</f>
        <v/>
      </c>
      <c r="AR134" s="23">
        <f>IF(W134="","",IF('分位数阈值'!$D$16="","",IFS(W134&lt;='分位数阈值'!$G$16,5,W134&lt;='分位数阈值'!$F$16,4,W134&lt;='分位数阈值'!$E$16,3,W134&lt;='分位数阈值'!$D$16,2,TRUE,1)))</f>
        <v/>
      </c>
      <c r="AS134" s="23">
        <f>IF(X134="","",X134)</f>
        <v/>
      </c>
      <c r="AT134" s="23">
        <f>IF(Y134="","",Y134)</f>
        <v/>
      </c>
      <c r="AU134" s="10">
        <f>IF($A134="","",IF(OR(Z134=1,AR134=1,AJ134=1),"淘汰","通过"))</f>
        <v/>
      </c>
      <c r="AV134" s="10">
        <f>IF($A134="","",IF(OR(AA134=1,AR134=1,AND(AK134=1,AI134=1),AO134=1),"淘汰","通过"))</f>
        <v/>
      </c>
      <c r="AW134" s="24">
        <f>IF($A134="","",IF(AU134="淘汰","",ROUND(SUMPRODUCT(Z134:AT134,Z$2:AT$2)/5,1)))</f>
        <v/>
      </c>
      <c r="AX134" s="24">
        <f>IF($A134="","",IF(AV134="淘汰","",ROUND(SUMPRODUCT(Z134:AT134,Z$3:AT$3)/5,1)))</f>
        <v/>
      </c>
    </row>
    <row r="135" ht="15.75" customHeight="1" s="25">
      <c r="A135" s="22" t="n"/>
      <c r="B135" s="20" t="n"/>
      <c r="C135" s="22" t="n"/>
      <c r="D135" s="22" t="n"/>
      <c r="E135" s="22" t="n"/>
      <c r="F135" s="22" t="n"/>
      <c r="G135" s="21" t="n"/>
      <c r="H135" s="21" t="n"/>
      <c r="I135" s="21" t="n"/>
      <c r="J135" s="21" t="n"/>
      <c r="K135" s="21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3">
        <f>IF(E135="","",IF('分位数阈值'!$D$2="","",IFS(E135&gt;='分位数阈值'!$D$2,5,E135&gt;='分位数阈值'!$E$2,4,E135&gt;='分位数阈值'!$F$2,3,E135&gt;='分位数阈值'!$G$2,2,TRUE,1)))</f>
        <v/>
      </c>
      <c r="AA135" s="23">
        <f>IF(F135="","",IF('分位数阈值'!$D$3="","",IFS(F135&gt;='分位数阈值'!$D$3,5,F135&gt;='分位数阈值'!$E$3,4,F135&gt;='分位数阈值'!$F$3,3,F135&gt;='分位数阈值'!$G$3,2,TRUE,1)))</f>
        <v/>
      </c>
      <c r="AB135" s="23">
        <f>IF(G135="","",IF('分位数阈值'!$D$4="","",IFS(G135&gt;='分位数阈值'!$D$4,5,G135&gt;='分位数阈值'!$E$4,4,G135&gt;='分位数阈值'!$F$4,3,G135&gt;='分位数阈值'!$G$4,2,TRUE,1)))</f>
        <v/>
      </c>
      <c r="AC135" s="23">
        <f>IF(H135="","",IF('分位数阈值'!$D$5="","",IFS(H135&gt;='分位数阈值'!$D$5,5,H135&gt;='分位数阈值'!$E$5,4,H135&gt;='分位数阈值'!$F$5,3,H135&gt;='分位数阈值'!$G$5,2,TRUE,1)))</f>
        <v/>
      </c>
      <c r="AD135" s="23">
        <f>IF(I135="","",IF('分位数阈值'!$D$6="","",IFS(I135&gt;='分位数阈值'!$D$6,5,I135&gt;='分位数阈值'!$E$6,4,I135&gt;='分位数阈值'!$F$6,3,I135&gt;='分位数阈值'!$G$6,2,TRUE,1)))</f>
        <v/>
      </c>
      <c r="AE135" s="23">
        <f>IF(J135="","",IF('分位数阈值'!$D$7="","",IFS(J135&gt;='分位数阈值'!$D$7,5,J135&gt;='分位数阈值'!$E$7,4,J135&gt;='分位数阈值'!$F$7,3,J135&gt;='分位数阈值'!$G$7,2,TRUE,1)))</f>
        <v/>
      </c>
      <c r="AF135" s="23">
        <f>IF(K135="","",IF('分位数阈值'!$D$8="","",IFS(K135&gt;='分位数阈值'!$D$8,5,K135&gt;='分位数阈值'!$E$8,4,K135&gt;='分位数阈值'!$F$8,3,K135&gt;='分位数阈值'!$G$8,2,TRUE,1)))</f>
        <v/>
      </c>
      <c r="AG135" s="23">
        <f>IF(L135="","",IF('分位数阈值'!$D$9="","",IFS(L135&gt;='分位数阈值'!$D$9,5,L135&gt;='分位数阈值'!$E$9,4,L135&gt;='分位数阈值'!$F$9,3,L135&gt;='分位数阈值'!$G$9,2,TRUE,1)))</f>
        <v/>
      </c>
      <c r="AH135" s="23">
        <f>IF(M135="","",IF('分位数阈值'!$D$10="","",IFS(M135&lt;='分位数阈值'!$G$10,5,M135&lt;='分位数阈值'!$F$10,4,M135&lt;='分位数阈值'!$E$10,3,M135&lt;='分位数阈值'!$D$10,2,TRUE,1)))</f>
        <v/>
      </c>
      <c r="AI135" s="23">
        <f>IF(N135="","",IF('分位数阈值'!$D$11="","",IFS(N135&lt;='分位数阈值'!$G$11,5,N135&lt;='分位数阈值'!$F$11,4,N135&lt;='分位数阈值'!$E$11,3,N135&lt;='分位数阈值'!$D$11,2,TRUE,1)))</f>
        <v/>
      </c>
      <c r="AJ135" s="23">
        <f>IF(P135="","",IF(P135=1,1,5))</f>
        <v/>
      </c>
      <c r="AK135" s="23">
        <f>IF(Q135="","",IF(Q135=1,1,5))</f>
        <v/>
      </c>
      <c r="AL135" s="23">
        <f>IF(O135="","",IF('分位数阈值'!$D$12="","",IFS(O135&gt;='分位数阈值'!$D$12,5,O135&gt;='分位数阈值'!$E$12,4,O135&gt;='分位数阈值'!$F$12,3,O135&gt;='分位数阈值'!$G$12,2,TRUE,1)))</f>
        <v/>
      </c>
      <c r="AM135" s="23">
        <f>IF(R135="","",IF('分位数阈值'!$D$13="","",IFS(R135&lt;='分位数阈值'!$G$13,5,R135&lt;='分位数阈值'!$F$13,4,R135&lt;='分位数阈值'!$E$13,3,R135&lt;='分位数阈值'!$D$13,2,TRUE,1)))</f>
        <v/>
      </c>
      <c r="AN135" s="23">
        <f>IF(S135="","",IF('分位数阈值'!$D$14="","",IFS(S135&lt;='分位数阈值'!$G$14,5,S135&lt;='分位数阈值'!$F$14,4,S135&lt;='分位数阈值'!$E$14,3,S135&lt;='分位数阈值'!$D$14,2,TRUE,1)))</f>
        <v/>
      </c>
      <c r="AO135" s="23">
        <f>IF(T135="","",IF('分位数阈值'!$D$15="","",IFS(T135&lt;='分位数阈值'!$G$15,5,T135&lt;='分位数阈值'!$F$15,4,T135&lt;='分位数阈值'!$E$15,3,T135&lt;='分位数阈值'!$D$15,2,TRUE,1)))</f>
        <v/>
      </c>
      <c r="AP135" s="23">
        <f>IF(U135="","",IF(U135=1,5,1))</f>
        <v/>
      </c>
      <c r="AQ135" s="23">
        <f>IF(V135="","",V135)</f>
        <v/>
      </c>
      <c r="AR135" s="23">
        <f>IF(W135="","",IF('分位数阈值'!$D$16="","",IFS(W135&lt;='分位数阈值'!$G$16,5,W135&lt;='分位数阈值'!$F$16,4,W135&lt;='分位数阈值'!$E$16,3,W135&lt;='分位数阈值'!$D$16,2,TRUE,1)))</f>
        <v/>
      </c>
      <c r="AS135" s="23">
        <f>IF(X135="","",X135)</f>
        <v/>
      </c>
      <c r="AT135" s="23">
        <f>IF(Y135="","",Y135)</f>
        <v/>
      </c>
      <c r="AU135" s="10">
        <f>IF($A135="","",IF(OR(Z135=1,AR135=1,AJ135=1),"淘汰","通过"))</f>
        <v/>
      </c>
      <c r="AV135" s="10">
        <f>IF($A135="","",IF(OR(AA135=1,AR135=1,AND(AK135=1,AI135=1),AO135=1),"淘汰","通过"))</f>
        <v/>
      </c>
      <c r="AW135" s="24">
        <f>IF($A135="","",IF(AU135="淘汰","",ROUND(SUMPRODUCT(Z135:AT135,Z$2:AT$2)/5,1)))</f>
        <v/>
      </c>
      <c r="AX135" s="24">
        <f>IF($A135="","",IF(AV135="淘汰","",ROUND(SUMPRODUCT(Z135:AT135,Z$3:AT$3)/5,1)))</f>
        <v/>
      </c>
    </row>
    <row r="136" ht="15.75" customHeight="1" s="25">
      <c r="A136" s="22" t="n"/>
      <c r="B136" s="20" t="n"/>
      <c r="C136" s="22" t="n"/>
      <c r="D136" s="22" t="n"/>
      <c r="E136" s="22" t="n"/>
      <c r="F136" s="22" t="n"/>
      <c r="G136" s="21" t="n"/>
      <c r="H136" s="21" t="n"/>
      <c r="I136" s="21" t="n"/>
      <c r="J136" s="21" t="n"/>
      <c r="K136" s="21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3">
        <f>IF(E136="","",IF('分位数阈值'!$D$2="","",IFS(E136&gt;='分位数阈值'!$D$2,5,E136&gt;='分位数阈值'!$E$2,4,E136&gt;='分位数阈值'!$F$2,3,E136&gt;='分位数阈值'!$G$2,2,TRUE,1)))</f>
        <v/>
      </c>
      <c r="AA136" s="23">
        <f>IF(F136="","",IF('分位数阈值'!$D$3="","",IFS(F136&gt;='分位数阈值'!$D$3,5,F136&gt;='分位数阈值'!$E$3,4,F136&gt;='分位数阈值'!$F$3,3,F136&gt;='分位数阈值'!$G$3,2,TRUE,1)))</f>
        <v/>
      </c>
      <c r="AB136" s="23">
        <f>IF(G136="","",IF('分位数阈值'!$D$4="","",IFS(G136&gt;='分位数阈值'!$D$4,5,G136&gt;='分位数阈值'!$E$4,4,G136&gt;='分位数阈值'!$F$4,3,G136&gt;='分位数阈值'!$G$4,2,TRUE,1)))</f>
        <v/>
      </c>
      <c r="AC136" s="23">
        <f>IF(H136="","",IF('分位数阈值'!$D$5="","",IFS(H136&gt;='分位数阈值'!$D$5,5,H136&gt;='分位数阈值'!$E$5,4,H136&gt;='分位数阈值'!$F$5,3,H136&gt;='分位数阈值'!$G$5,2,TRUE,1)))</f>
        <v/>
      </c>
      <c r="AD136" s="23">
        <f>IF(I136="","",IF('分位数阈值'!$D$6="","",IFS(I136&gt;='分位数阈值'!$D$6,5,I136&gt;='分位数阈值'!$E$6,4,I136&gt;='分位数阈值'!$F$6,3,I136&gt;='分位数阈值'!$G$6,2,TRUE,1)))</f>
        <v/>
      </c>
      <c r="AE136" s="23">
        <f>IF(J136="","",IF('分位数阈值'!$D$7="","",IFS(J136&gt;='分位数阈值'!$D$7,5,J136&gt;='分位数阈值'!$E$7,4,J136&gt;='分位数阈值'!$F$7,3,J136&gt;='分位数阈值'!$G$7,2,TRUE,1)))</f>
        <v/>
      </c>
      <c r="AF136" s="23">
        <f>IF(K136="","",IF('分位数阈值'!$D$8="","",IFS(K136&gt;='分位数阈值'!$D$8,5,K136&gt;='分位数阈值'!$E$8,4,K136&gt;='分位数阈值'!$F$8,3,K136&gt;='分位数阈值'!$G$8,2,TRUE,1)))</f>
        <v/>
      </c>
      <c r="AG136" s="23">
        <f>IF(L136="","",IF('分位数阈值'!$D$9="","",IFS(L136&gt;='分位数阈值'!$D$9,5,L136&gt;='分位数阈值'!$E$9,4,L136&gt;='分位数阈值'!$F$9,3,L136&gt;='分位数阈值'!$G$9,2,TRUE,1)))</f>
        <v/>
      </c>
      <c r="AH136" s="23">
        <f>IF(M136="","",IF('分位数阈值'!$D$10="","",IFS(M136&lt;='分位数阈值'!$G$10,5,M136&lt;='分位数阈值'!$F$10,4,M136&lt;='分位数阈值'!$E$10,3,M136&lt;='分位数阈值'!$D$10,2,TRUE,1)))</f>
        <v/>
      </c>
      <c r="AI136" s="23">
        <f>IF(N136="","",IF('分位数阈值'!$D$11="","",IFS(N136&lt;='分位数阈值'!$G$11,5,N136&lt;='分位数阈值'!$F$11,4,N136&lt;='分位数阈值'!$E$11,3,N136&lt;='分位数阈值'!$D$11,2,TRUE,1)))</f>
        <v/>
      </c>
      <c r="AJ136" s="23">
        <f>IF(P136="","",IF(P136=1,1,5))</f>
        <v/>
      </c>
      <c r="AK136" s="23">
        <f>IF(Q136="","",IF(Q136=1,1,5))</f>
        <v/>
      </c>
      <c r="AL136" s="23">
        <f>IF(O136="","",IF('分位数阈值'!$D$12="","",IFS(O136&gt;='分位数阈值'!$D$12,5,O136&gt;='分位数阈值'!$E$12,4,O136&gt;='分位数阈值'!$F$12,3,O136&gt;='分位数阈值'!$G$12,2,TRUE,1)))</f>
        <v/>
      </c>
      <c r="AM136" s="23">
        <f>IF(R136="","",IF('分位数阈值'!$D$13="","",IFS(R136&lt;='分位数阈值'!$G$13,5,R136&lt;='分位数阈值'!$F$13,4,R136&lt;='分位数阈值'!$E$13,3,R136&lt;='分位数阈值'!$D$13,2,TRUE,1)))</f>
        <v/>
      </c>
      <c r="AN136" s="23">
        <f>IF(S136="","",IF('分位数阈值'!$D$14="","",IFS(S136&lt;='分位数阈值'!$G$14,5,S136&lt;='分位数阈值'!$F$14,4,S136&lt;='分位数阈值'!$E$14,3,S136&lt;='分位数阈值'!$D$14,2,TRUE,1)))</f>
        <v/>
      </c>
      <c r="AO136" s="23">
        <f>IF(T136="","",IF('分位数阈值'!$D$15="","",IFS(T136&lt;='分位数阈值'!$G$15,5,T136&lt;='分位数阈值'!$F$15,4,T136&lt;='分位数阈值'!$E$15,3,T136&lt;='分位数阈值'!$D$15,2,TRUE,1)))</f>
        <v/>
      </c>
      <c r="AP136" s="23">
        <f>IF(U136="","",IF(U136=1,5,1))</f>
        <v/>
      </c>
      <c r="AQ136" s="23">
        <f>IF(V136="","",V136)</f>
        <v/>
      </c>
      <c r="AR136" s="23">
        <f>IF(W136="","",IF('分位数阈值'!$D$16="","",IFS(W136&lt;='分位数阈值'!$G$16,5,W136&lt;='分位数阈值'!$F$16,4,W136&lt;='分位数阈值'!$E$16,3,W136&lt;='分位数阈值'!$D$16,2,TRUE,1)))</f>
        <v/>
      </c>
      <c r="AS136" s="23">
        <f>IF(X136="","",X136)</f>
        <v/>
      </c>
      <c r="AT136" s="23">
        <f>IF(Y136="","",Y136)</f>
        <v/>
      </c>
      <c r="AU136" s="10">
        <f>IF($A136="","",IF(OR(Z136=1,AR136=1,AJ136=1),"淘汰","通过"))</f>
        <v/>
      </c>
      <c r="AV136" s="10">
        <f>IF($A136="","",IF(OR(AA136=1,AR136=1,AND(AK136=1,AI136=1),AO136=1),"淘汰","通过"))</f>
        <v/>
      </c>
      <c r="AW136" s="24">
        <f>IF($A136="","",IF(AU136="淘汰","",ROUND(SUMPRODUCT(Z136:AT136,Z$2:AT$2)/5,1)))</f>
        <v/>
      </c>
      <c r="AX136" s="24">
        <f>IF($A136="","",IF(AV136="淘汰","",ROUND(SUMPRODUCT(Z136:AT136,Z$3:AT$3)/5,1)))</f>
        <v/>
      </c>
    </row>
    <row r="137" ht="15.75" customHeight="1" s="25">
      <c r="A137" s="22" t="n"/>
      <c r="B137" s="20" t="n"/>
      <c r="C137" s="22" t="n"/>
      <c r="D137" s="22" t="n"/>
      <c r="E137" s="22" t="n"/>
      <c r="F137" s="22" t="n"/>
      <c r="G137" s="21" t="n"/>
      <c r="H137" s="21" t="n"/>
      <c r="I137" s="21" t="n"/>
      <c r="J137" s="21" t="n"/>
      <c r="K137" s="21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3">
        <f>IF(E137="","",IF('分位数阈值'!$D$2="","",IFS(E137&gt;='分位数阈值'!$D$2,5,E137&gt;='分位数阈值'!$E$2,4,E137&gt;='分位数阈值'!$F$2,3,E137&gt;='分位数阈值'!$G$2,2,TRUE,1)))</f>
        <v/>
      </c>
      <c r="AA137" s="23">
        <f>IF(F137="","",IF('分位数阈值'!$D$3="","",IFS(F137&gt;='分位数阈值'!$D$3,5,F137&gt;='分位数阈值'!$E$3,4,F137&gt;='分位数阈值'!$F$3,3,F137&gt;='分位数阈值'!$G$3,2,TRUE,1)))</f>
        <v/>
      </c>
      <c r="AB137" s="23">
        <f>IF(G137="","",IF('分位数阈值'!$D$4="","",IFS(G137&gt;='分位数阈值'!$D$4,5,G137&gt;='分位数阈值'!$E$4,4,G137&gt;='分位数阈值'!$F$4,3,G137&gt;='分位数阈值'!$G$4,2,TRUE,1)))</f>
        <v/>
      </c>
      <c r="AC137" s="23">
        <f>IF(H137="","",IF('分位数阈值'!$D$5="","",IFS(H137&gt;='分位数阈值'!$D$5,5,H137&gt;='分位数阈值'!$E$5,4,H137&gt;='分位数阈值'!$F$5,3,H137&gt;='分位数阈值'!$G$5,2,TRUE,1)))</f>
        <v/>
      </c>
      <c r="AD137" s="23">
        <f>IF(I137="","",IF('分位数阈值'!$D$6="","",IFS(I137&gt;='分位数阈值'!$D$6,5,I137&gt;='分位数阈值'!$E$6,4,I137&gt;='分位数阈值'!$F$6,3,I137&gt;='分位数阈值'!$G$6,2,TRUE,1)))</f>
        <v/>
      </c>
      <c r="AE137" s="23">
        <f>IF(J137="","",IF('分位数阈值'!$D$7="","",IFS(J137&gt;='分位数阈值'!$D$7,5,J137&gt;='分位数阈值'!$E$7,4,J137&gt;='分位数阈值'!$F$7,3,J137&gt;='分位数阈值'!$G$7,2,TRUE,1)))</f>
        <v/>
      </c>
      <c r="AF137" s="23">
        <f>IF(K137="","",IF('分位数阈值'!$D$8="","",IFS(K137&gt;='分位数阈值'!$D$8,5,K137&gt;='分位数阈值'!$E$8,4,K137&gt;='分位数阈值'!$F$8,3,K137&gt;='分位数阈值'!$G$8,2,TRUE,1)))</f>
        <v/>
      </c>
      <c r="AG137" s="23">
        <f>IF(L137="","",IF('分位数阈值'!$D$9="","",IFS(L137&gt;='分位数阈值'!$D$9,5,L137&gt;='分位数阈值'!$E$9,4,L137&gt;='分位数阈值'!$F$9,3,L137&gt;='分位数阈值'!$G$9,2,TRUE,1)))</f>
        <v/>
      </c>
      <c r="AH137" s="23">
        <f>IF(M137="","",IF('分位数阈值'!$D$10="","",IFS(M137&lt;='分位数阈值'!$G$10,5,M137&lt;='分位数阈值'!$F$10,4,M137&lt;='分位数阈值'!$E$10,3,M137&lt;='分位数阈值'!$D$10,2,TRUE,1)))</f>
        <v/>
      </c>
      <c r="AI137" s="23">
        <f>IF(N137="","",IF('分位数阈值'!$D$11="","",IFS(N137&lt;='分位数阈值'!$G$11,5,N137&lt;='分位数阈值'!$F$11,4,N137&lt;='分位数阈值'!$E$11,3,N137&lt;='分位数阈值'!$D$11,2,TRUE,1)))</f>
        <v/>
      </c>
      <c r="AJ137" s="23">
        <f>IF(P137="","",IF(P137=1,1,5))</f>
        <v/>
      </c>
      <c r="AK137" s="23">
        <f>IF(Q137="","",IF(Q137=1,1,5))</f>
        <v/>
      </c>
      <c r="AL137" s="23">
        <f>IF(O137="","",IF('分位数阈值'!$D$12="","",IFS(O137&gt;='分位数阈值'!$D$12,5,O137&gt;='分位数阈值'!$E$12,4,O137&gt;='分位数阈值'!$F$12,3,O137&gt;='分位数阈值'!$G$12,2,TRUE,1)))</f>
        <v/>
      </c>
      <c r="AM137" s="23">
        <f>IF(R137="","",IF('分位数阈值'!$D$13="","",IFS(R137&lt;='分位数阈值'!$G$13,5,R137&lt;='分位数阈值'!$F$13,4,R137&lt;='分位数阈值'!$E$13,3,R137&lt;='分位数阈值'!$D$13,2,TRUE,1)))</f>
        <v/>
      </c>
      <c r="AN137" s="23">
        <f>IF(S137="","",IF('分位数阈值'!$D$14="","",IFS(S137&lt;='分位数阈值'!$G$14,5,S137&lt;='分位数阈值'!$F$14,4,S137&lt;='分位数阈值'!$E$14,3,S137&lt;='分位数阈值'!$D$14,2,TRUE,1)))</f>
        <v/>
      </c>
      <c r="AO137" s="23">
        <f>IF(T137="","",IF('分位数阈值'!$D$15="","",IFS(T137&lt;='分位数阈值'!$G$15,5,T137&lt;='分位数阈值'!$F$15,4,T137&lt;='分位数阈值'!$E$15,3,T137&lt;='分位数阈值'!$D$15,2,TRUE,1)))</f>
        <v/>
      </c>
      <c r="AP137" s="23">
        <f>IF(U137="","",IF(U137=1,5,1))</f>
        <v/>
      </c>
      <c r="AQ137" s="23">
        <f>IF(V137="","",V137)</f>
        <v/>
      </c>
      <c r="AR137" s="23">
        <f>IF(W137="","",IF('分位数阈值'!$D$16="","",IFS(W137&lt;='分位数阈值'!$G$16,5,W137&lt;='分位数阈值'!$F$16,4,W137&lt;='分位数阈值'!$E$16,3,W137&lt;='分位数阈值'!$D$16,2,TRUE,1)))</f>
        <v/>
      </c>
      <c r="AS137" s="23">
        <f>IF(X137="","",X137)</f>
        <v/>
      </c>
      <c r="AT137" s="23">
        <f>IF(Y137="","",Y137)</f>
        <v/>
      </c>
      <c r="AU137" s="10">
        <f>IF($A137="","",IF(OR(Z137=1,AR137=1,AJ137=1),"淘汰","通过"))</f>
        <v/>
      </c>
      <c r="AV137" s="10">
        <f>IF($A137="","",IF(OR(AA137=1,AR137=1,AND(AK137=1,AI137=1),AO137=1),"淘汰","通过"))</f>
        <v/>
      </c>
      <c r="AW137" s="24">
        <f>IF($A137="","",IF(AU137="淘汰","",ROUND(SUMPRODUCT(Z137:AT137,Z$2:AT$2)/5,1)))</f>
        <v/>
      </c>
      <c r="AX137" s="24">
        <f>IF($A137="","",IF(AV137="淘汰","",ROUND(SUMPRODUCT(Z137:AT137,Z$3:AT$3)/5,1)))</f>
        <v/>
      </c>
    </row>
    <row r="138" ht="15.75" customHeight="1" s="25">
      <c r="A138" s="22" t="n"/>
      <c r="B138" s="20" t="n"/>
      <c r="C138" s="22" t="n"/>
      <c r="D138" s="22" t="n"/>
      <c r="E138" s="22" t="n"/>
      <c r="F138" s="22" t="n"/>
      <c r="G138" s="21" t="n"/>
      <c r="H138" s="21" t="n"/>
      <c r="I138" s="21" t="n"/>
      <c r="J138" s="21" t="n"/>
      <c r="K138" s="21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3">
        <f>IF(E138="","",IF('分位数阈值'!$D$2="","",IFS(E138&gt;='分位数阈值'!$D$2,5,E138&gt;='分位数阈值'!$E$2,4,E138&gt;='分位数阈值'!$F$2,3,E138&gt;='分位数阈值'!$G$2,2,TRUE,1)))</f>
        <v/>
      </c>
      <c r="AA138" s="23">
        <f>IF(F138="","",IF('分位数阈值'!$D$3="","",IFS(F138&gt;='分位数阈值'!$D$3,5,F138&gt;='分位数阈值'!$E$3,4,F138&gt;='分位数阈值'!$F$3,3,F138&gt;='分位数阈值'!$G$3,2,TRUE,1)))</f>
        <v/>
      </c>
      <c r="AB138" s="23">
        <f>IF(G138="","",IF('分位数阈值'!$D$4="","",IFS(G138&gt;='分位数阈值'!$D$4,5,G138&gt;='分位数阈值'!$E$4,4,G138&gt;='分位数阈值'!$F$4,3,G138&gt;='分位数阈值'!$G$4,2,TRUE,1)))</f>
        <v/>
      </c>
      <c r="AC138" s="23">
        <f>IF(H138="","",IF('分位数阈值'!$D$5="","",IFS(H138&gt;='分位数阈值'!$D$5,5,H138&gt;='分位数阈值'!$E$5,4,H138&gt;='分位数阈值'!$F$5,3,H138&gt;='分位数阈值'!$G$5,2,TRUE,1)))</f>
        <v/>
      </c>
      <c r="AD138" s="23">
        <f>IF(I138="","",IF('分位数阈值'!$D$6="","",IFS(I138&gt;='分位数阈值'!$D$6,5,I138&gt;='分位数阈值'!$E$6,4,I138&gt;='分位数阈值'!$F$6,3,I138&gt;='分位数阈值'!$G$6,2,TRUE,1)))</f>
        <v/>
      </c>
      <c r="AE138" s="23">
        <f>IF(J138="","",IF('分位数阈值'!$D$7="","",IFS(J138&gt;='分位数阈值'!$D$7,5,J138&gt;='分位数阈值'!$E$7,4,J138&gt;='分位数阈值'!$F$7,3,J138&gt;='分位数阈值'!$G$7,2,TRUE,1)))</f>
        <v/>
      </c>
      <c r="AF138" s="23">
        <f>IF(K138="","",IF('分位数阈值'!$D$8="","",IFS(K138&gt;='分位数阈值'!$D$8,5,K138&gt;='分位数阈值'!$E$8,4,K138&gt;='分位数阈值'!$F$8,3,K138&gt;='分位数阈值'!$G$8,2,TRUE,1)))</f>
        <v/>
      </c>
      <c r="AG138" s="23">
        <f>IF(L138="","",IF('分位数阈值'!$D$9="","",IFS(L138&gt;='分位数阈值'!$D$9,5,L138&gt;='分位数阈值'!$E$9,4,L138&gt;='分位数阈值'!$F$9,3,L138&gt;='分位数阈值'!$G$9,2,TRUE,1)))</f>
        <v/>
      </c>
      <c r="AH138" s="23">
        <f>IF(M138="","",IF('分位数阈值'!$D$10="","",IFS(M138&lt;='分位数阈值'!$G$10,5,M138&lt;='分位数阈值'!$F$10,4,M138&lt;='分位数阈值'!$E$10,3,M138&lt;='分位数阈值'!$D$10,2,TRUE,1)))</f>
        <v/>
      </c>
      <c r="AI138" s="23">
        <f>IF(N138="","",IF('分位数阈值'!$D$11="","",IFS(N138&lt;='分位数阈值'!$G$11,5,N138&lt;='分位数阈值'!$F$11,4,N138&lt;='分位数阈值'!$E$11,3,N138&lt;='分位数阈值'!$D$11,2,TRUE,1)))</f>
        <v/>
      </c>
      <c r="AJ138" s="23">
        <f>IF(P138="","",IF(P138=1,1,5))</f>
        <v/>
      </c>
      <c r="AK138" s="23">
        <f>IF(Q138="","",IF(Q138=1,1,5))</f>
        <v/>
      </c>
      <c r="AL138" s="23">
        <f>IF(O138="","",IF('分位数阈值'!$D$12="","",IFS(O138&gt;='分位数阈值'!$D$12,5,O138&gt;='分位数阈值'!$E$12,4,O138&gt;='分位数阈值'!$F$12,3,O138&gt;='分位数阈值'!$G$12,2,TRUE,1)))</f>
        <v/>
      </c>
      <c r="AM138" s="23">
        <f>IF(R138="","",IF('分位数阈值'!$D$13="","",IFS(R138&lt;='分位数阈值'!$G$13,5,R138&lt;='分位数阈值'!$F$13,4,R138&lt;='分位数阈值'!$E$13,3,R138&lt;='分位数阈值'!$D$13,2,TRUE,1)))</f>
        <v/>
      </c>
      <c r="AN138" s="23">
        <f>IF(S138="","",IF('分位数阈值'!$D$14="","",IFS(S138&lt;='分位数阈值'!$G$14,5,S138&lt;='分位数阈值'!$F$14,4,S138&lt;='分位数阈值'!$E$14,3,S138&lt;='分位数阈值'!$D$14,2,TRUE,1)))</f>
        <v/>
      </c>
      <c r="AO138" s="23">
        <f>IF(T138="","",IF('分位数阈值'!$D$15="","",IFS(T138&lt;='分位数阈值'!$G$15,5,T138&lt;='分位数阈值'!$F$15,4,T138&lt;='分位数阈值'!$E$15,3,T138&lt;='分位数阈值'!$D$15,2,TRUE,1)))</f>
        <v/>
      </c>
      <c r="AP138" s="23">
        <f>IF(U138="","",IF(U138=1,5,1))</f>
        <v/>
      </c>
      <c r="AQ138" s="23">
        <f>IF(V138="","",V138)</f>
        <v/>
      </c>
      <c r="AR138" s="23">
        <f>IF(W138="","",IF('分位数阈值'!$D$16="","",IFS(W138&lt;='分位数阈值'!$G$16,5,W138&lt;='分位数阈值'!$F$16,4,W138&lt;='分位数阈值'!$E$16,3,W138&lt;='分位数阈值'!$D$16,2,TRUE,1)))</f>
        <v/>
      </c>
      <c r="AS138" s="23">
        <f>IF(X138="","",X138)</f>
        <v/>
      </c>
      <c r="AT138" s="23">
        <f>IF(Y138="","",Y138)</f>
        <v/>
      </c>
      <c r="AU138" s="10">
        <f>IF($A138="","",IF(OR(Z138=1,AR138=1,AJ138=1),"淘汰","通过"))</f>
        <v/>
      </c>
      <c r="AV138" s="10">
        <f>IF($A138="","",IF(OR(AA138=1,AR138=1,AND(AK138=1,AI138=1),AO138=1),"淘汰","通过"))</f>
        <v/>
      </c>
      <c r="AW138" s="24">
        <f>IF($A138="","",IF(AU138="淘汰","",ROUND(SUMPRODUCT(Z138:AT138,Z$2:AT$2)/5,1)))</f>
        <v/>
      </c>
      <c r="AX138" s="24">
        <f>IF($A138="","",IF(AV138="淘汰","",ROUND(SUMPRODUCT(Z138:AT138,Z$3:AT$3)/5,1)))</f>
        <v/>
      </c>
    </row>
    <row r="139" ht="15.75" customHeight="1" s="25">
      <c r="A139" s="22" t="n"/>
      <c r="B139" s="20" t="n"/>
      <c r="C139" s="22" t="n"/>
      <c r="D139" s="22" t="n"/>
      <c r="E139" s="22" t="n"/>
      <c r="F139" s="22" t="n"/>
      <c r="G139" s="21" t="n"/>
      <c r="H139" s="21" t="n"/>
      <c r="I139" s="21" t="n"/>
      <c r="J139" s="21" t="n"/>
      <c r="K139" s="21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3">
        <f>IF(E139="","",IF('分位数阈值'!$D$2="","",IFS(E139&gt;='分位数阈值'!$D$2,5,E139&gt;='分位数阈值'!$E$2,4,E139&gt;='分位数阈值'!$F$2,3,E139&gt;='分位数阈值'!$G$2,2,TRUE,1)))</f>
        <v/>
      </c>
      <c r="AA139" s="23">
        <f>IF(F139="","",IF('分位数阈值'!$D$3="","",IFS(F139&gt;='分位数阈值'!$D$3,5,F139&gt;='分位数阈值'!$E$3,4,F139&gt;='分位数阈值'!$F$3,3,F139&gt;='分位数阈值'!$G$3,2,TRUE,1)))</f>
        <v/>
      </c>
      <c r="AB139" s="23">
        <f>IF(G139="","",IF('分位数阈值'!$D$4="","",IFS(G139&gt;='分位数阈值'!$D$4,5,G139&gt;='分位数阈值'!$E$4,4,G139&gt;='分位数阈值'!$F$4,3,G139&gt;='分位数阈值'!$G$4,2,TRUE,1)))</f>
        <v/>
      </c>
      <c r="AC139" s="23">
        <f>IF(H139="","",IF('分位数阈值'!$D$5="","",IFS(H139&gt;='分位数阈值'!$D$5,5,H139&gt;='分位数阈值'!$E$5,4,H139&gt;='分位数阈值'!$F$5,3,H139&gt;='分位数阈值'!$G$5,2,TRUE,1)))</f>
        <v/>
      </c>
      <c r="AD139" s="23">
        <f>IF(I139="","",IF('分位数阈值'!$D$6="","",IFS(I139&gt;='分位数阈值'!$D$6,5,I139&gt;='分位数阈值'!$E$6,4,I139&gt;='分位数阈值'!$F$6,3,I139&gt;='分位数阈值'!$G$6,2,TRUE,1)))</f>
        <v/>
      </c>
      <c r="AE139" s="23">
        <f>IF(J139="","",IF('分位数阈值'!$D$7="","",IFS(J139&gt;='分位数阈值'!$D$7,5,J139&gt;='分位数阈值'!$E$7,4,J139&gt;='分位数阈值'!$F$7,3,J139&gt;='分位数阈值'!$G$7,2,TRUE,1)))</f>
        <v/>
      </c>
      <c r="AF139" s="23">
        <f>IF(K139="","",IF('分位数阈值'!$D$8="","",IFS(K139&gt;='分位数阈值'!$D$8,5,K139&gt;='分位数阈值'!$E$8,4,K139&gt;='分位数阈值'!$F$8,3,K139&gt;='分位数阈值'!$G$8,2,TRUE,1)))</f>
        <v/>
      </c>
      <c r="AG139" s="23">
        <f>IF(L139="","",IF('分位数阈值'!$D$9="","",IFS(L139&gt;='分位数阈值'!$D$9,5,L139&gt;='分位数阈值'!$E$9,4,L139&gt;='分位数阈值'!$F$9,3,L139&gt;='分位数阈值'!$G$9,2,TRUE,1)))</f>
        <v/>
      </c>
      <c r="AH139" s="23">
        <f>IF(M139="","",IF('分位数阈值'!$D$10="","",IFS(M139&lt;='分位数阈值'!$G$10,5,M139&lt;='分位数阈值'!$F$10,4,M139&lt;='分位数阈值'!$E$10,3,M139&lt;='分位数阈值'!$D$10,2,TRUE,1)))</f>
        <v/>
      </c>
      <c r="AI139" s="23">
        <f>IF(N139="","",IF('分位数阈值'!$D$11="","",IFS(N139&lt;='分位数阈值'!$G$11,5,N139&lt;='分位数阈值'!$F$11,4,N139&lt;='分位数阈值'!$E$11,3,N139&lt;='分位数阈值'!$D$11,2,TRUE,1)))</f>
        <v/>
      </c>
      <c r="AJ139" s="23">
        <f>IF(P139="","",IF(P139=1,1,5))</f>
        <v/>
      </c>
      <c r="AK139" s="23">
        <f>IF(Q139="","",IF(Q139=1,1,5))</f>
        <v/>
      </c>
      <c r="AL139" s="23">
        <f>IF(O139="","",IF('分位数阈值'!$D$12="","",IFS(O139&gt;='分位数阈值'!$D$12,5,O139&gt;='分位数阈值'!$E$12,4,O139&gt;='分位数阈值'!$F$12,3,O139&gt;='分位数阈值'!$G$12,2,TRUE,1)))</f>
        <v/>
      </c>
      <c r="AM139" s="23">
        <f>IF(R139="","",IF('分位数阈值'!$D$13="","",IFS(R139&lt;='分位数阈值'!$G$13,5,R139&lt;='分位数阈值'!$F$13,4,R139&lt;='分位数阈值'!$E$13,3,R139&lt;='分位数阈值'!$D$13,2,TRUE,1)))</f>
        <v/>
      </c>
      <c r="AN139" s="23">
        <f>IF(S139="","",IF('分位数阈值'!$D$14="","",IFS(S139&lt;='分位数阈值'!$G$14,5,S139&lt;='分位数阈值'!$F$14,4,S139&lt;='分位数阈值'!$E$14,3,S139&lt;='分位数阈值'!$D$14,2,TRUE,1)))</f>
        <v/>
      </c>
      <c r="AO139" s="23">
        <f>IF(T139="","",IF('分位数阈值'!$D$15="","",IFS(T139&lt;='分位数阈值'!$G$15,5,T139&lt;='分位数阈值'!$F$15,4,T139&lt;='分位数阈值'!$E$15,3,T139&lt;='分位数阈值'!$D$15,2,TRUE,1)))</f>
        <v/>
      </c>
      <c r="AP139" s="23">
        <f>IF(U139="","",IF(U139=1,5,1))</f>
        <v/>
      </c>
      <c r="AQ139" s="23">
        <f>IF(V139="","",V139)</f>
        <v/>
      </c>
      <c r="AR139" s="23">
        <f>IF(W139="","",IF('分位数阈值'!$D$16="","",IFS(W139&lt;='分位数阈值'!$G$16,5,W139&lt;='分位数阈值'!$F$16,4,W139&lt;='分位数阈值'!$E$16,3,W139&lt;='分位数阈值'!$D$16,2,TRUE,1)))</f>
        <v/>
      </c>
      <c r="AS139" s="23">
        <f>IF(X139="","",X139)</f>
        <v/>
      </c>
      <c r="AT139" s="23">
        <f>IF(Y139="","",Y139)</f>
        <v/>
      </c>
      <c r="AU139" s="10">
        <f>IF($A139="","",IF(OR(Z139=1,AR139=1,AJ139=1),"淘汰","通过"))</f>
        <v/>
      </c>
      <c r="AV139" s="10">
        <f>IF($A139="","",IF(OR(AA139=1,AR139=1,AND(AK139=1,AI139=1),AO139=1),"淘汰","通过"))</f>
        <v/>
      </c>
      <c r="AW139" s="24">
        <f>IF($A139="","",IF(AU139="淘汰","",ROUND(SUMPRODUCT(Z139:AT139,Z$2:AT$2)/5,1)))</f>
        <v/>
      </c>
      <c r="AX139" s="24">
        <f>IF($A139="","",IF(AV139="淘汰","",ROUND(SUMPRODUCT(Z139:AT139,Z$3:AT$3)/5,1)))</f>
        <v/>
      </c>
    </row>
    <row r="140" ht="15.75" customHeight="1" s="25">
      <c r="A140" s="22" t="n"/>
      <c r="B140" s="20" t="n"/>
      <c r="C140" s="22" t="n"/>
      <c r="D140" s="22" t="n"/>
      <c r="E140" s="22" t="n"/>
      <c r="F140" s="22" t="n"/>
      <c r="G140" s="21" t="n"/>
      <c r="H140" s="21" t="n"/>
      <c r="I140" s="21" t="n"/>
      <c r="J140" s="21" t="n"/>
      <c r="K140" s="21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3">
        <f>IF(E140="","",IF('分位数阈值'!$D$2="","",IFS(E140&gt;='分位数阈值'!$D$2,5,E140&gt;='分位数阈值'!$E$2,4,E140&gt;='分位数阈值'!$F$2,3,E140&gt;='分位数阈值'!$G$2,2,TRUE,1)))</f>
        <v/>
      </c>
      <c r="AA140" s="23">
        <f>IF(F140="","",IF('分位数阈值'!$D$3="","",IFS(F140&gt;='分位数阈值'!$D$3,5,F140&gt;='分位数阈值'!$E$3,4,F140&gt;='分位数阈值'!$F$3,3,F140&gt;='分位数阈值'!$G$3,2,TRUE,1)))</f>
        <v/>
      </c>
      <c r="AB140" s="23">
        <f>IF(G140="","",IF('分位数阈值'!$D$4="","",IFS(G140&gt;='分位数阈值'!$D$4,5,G140&gt;='分位数阈值'!$E$4,4,G140&gt;='分位数阈值'!$F$4,3,G140&gt;='分位数阈值'!$G$4,2,TRUE,1)))</f>
        <v/>
      </c>
      <c r="AC140" s="23">
        <f>IF(H140="","",IF('分位数阈值'!$D$5="","",IFS(H140&gt;='分位数阈值'!$D$5,5,H140&gt;='分位数阈值'!$E$5,4,H140&gt;='分位数阈值'!$F$5,3,H140&gt;='分位数阈值'!$G$5,2,TRUE,1)))</f>
        <v/>
      </c>
      <c r="AD140" s="23">
        <f>IF(I140="","",IF('分位数阈值'!$D$6="","",IFS(I140&gt;='分位数阈值'!$D$6,5,I140&gt;='分位数阈值'!$E$6,4,I140&gt;='分位数阈值'!$F$6,3,I140&gt;='分位数阈值'!$G$6,2,TRUE,1)))</f>
        <v/>
      </c>
      <c r="AE140" s="23">
        <f>IF(J140="","",IF('分位数阈值'!$D$7="","",IFS(J140&gt;='分位数阈值'!$D$7,5,J140&gt;='分位数阈值'!$E$7,4,J140&gt;='分位数阈值'!$F$7,3,J140&gt;='分位数阈值'!$G$7,2,TRUE,1)))</f>
        <v/>
      </c>
      <c r="AF140" s="23">
        <f>IF(K140="","",IF('分位数阈值'!$D$8="","",IFS(K140&gt;='分位数阈值'!$D$8,5,K140&gt;='分位数阈值'!$E$8,4,K140&gt;='分位数阈值'!$F$8,3,K140&gt;='分位数阈值'!$G$8,2,TRUE,1)))</f>
        <v/>
      </c>
      <c r="AG140" s="23">
        <f>IF(L140="","",IF('分位数阈值'!$D$9="","",IFS(L140&gt;='分位数阈值'!$D$9,5,L140&gt;='分位数阈值'!$E$9,4,L140&gt;='分位数阈值'!$F$9,3,L140&gt;='分位数阈值'!$G$9,2,TRUE,1)))</f>
        <v/>
      </c>
      <c r="AH140" s="23">
        <f>IF(M140="","",IF('分位数阈值'!$D$10="","",IFS(M140&lt;='分位数阈值'!$G$10,5,M140&lt;='分位数阈值'!$F$10,4,M140&lt;='分位数阈值'!$E$10,3,M140&lt;='分位数阈值'!$D$10,2,TRUE,1)))</f>
        <v/>
      </c>
      <c r="AI140" s="23">
        <f>IF(N140="","",IF('分位数阈值'!$D$11="","",IFS(N140&lt;='分位数阈值'!$G$11,5,N140&lt;='分位数阈值'!$F$11,4,N140&lt;='分位数阈值'!$E$11,3,N140&lt;='分位数阈值'!$D$11,2,TRUE,1)))</f>
        <v/>
      </c>
      <c r="AJ140" s="23">
        <f>IF(P140="","",IF(P140=1,1,5))</f>
        <v/>
      </c>
      <c r="AK140" s="23">
        <f>IF(Q140="","",IF(Q140=1,1,5))</f>
        <v/>
      </c>
      <c r="AL140" s="23">
        <f>IF(O140="","",IF('分位数阈值'!$D$12="","",IFS(O140&gt;='分位数阈值'!$D$12,5,O140&gt;='分位数阈值'!$E$12,4,O140&gt;='分位数阈值'!$F$12,3,O140&gt;='分位数阈值'!$G$12,2,TRUE,1)))</f>
        <v/>
      </c>
      <c r="AM140" s="23">
        <f>IF(R140="","",IF('分位数阈值'!$D$13="","",IFS(R140&lt;='分位数阈值'!$G$13,5,R140&lt;='分位数阈值'!$F$13,4,R140&lt;='分位数阈值'!$E$13,3,R140&lt;='分位数阈值'!$D$13,2,TRUE,1)))</f>
        <v/>
      </c>
      <c r="AN140" s="23">
        <f>IF(S140="","",IF('分位数阈值'!$D$14="","",IFS(S140&lt;='分位数阈值'!$G$14,5,S140&lt;='分位数阈值'!$F$14,4,S140&lt;='分位数阈值'!$E$14,3,S140&lt;='分位数阈值'!$D$14,2,TRUE,1)))</f>
        <v/>
      </c>
      <c r="AO140" s="23">
        <f>IF(T140="","",IF('分位数阈值'!$D$15="","",IFS(T140&lt;='分位数阈值'!$G$15,5,T140&lt;='分位数阈值'!$F$15,4,T140&lt;='分位数阈值'!$E$15,3,T140&lt;='分位数阈值'!$D$15,2,TRUE,1)))</f>
        <v/>
      </c>
      <c r="AP140" s="23">
        <f>IF(U140="","",IF(U140=1,5,1))</f>
        <v/>
      </c>
      <c r="AQ140" s="23">
        <f>IF(V140="","",V140)</f>
        <v/>
      </c>
      <c r="AR140" s="23">
        <f>IF(W140="","",IF('分位数阈值'!$D$16="","",IFS(W140&lt;='分位数阈值'!$G$16,5,W140&lt;='分位数阈值'!$F$16,4,W140&lt;='分位数阈值'!$E$16,3,W140&lt;='分位数阈值'!$D$16,2,TRUE,1)))</f>
        <v/>
      </c>
      <c r="AS140" s="23">
        <f>IF(X140="","",X140)</f>
        <v/>
      </c>
      <c r="AT140" s="23">
        <f>IF(Y140="","",Y140)</f>
        <v/>
      </c>
      <c r="AU140" s="10">
        <f>IF($A140="","",IF(OR(Z140=1,AR140=1,AJ140=1),"淘汰","通过"))</f>
        <v/>
      </c>
      <c r="AV140" s="10">
        <f>IF($A140="","",IF(OR(AA140=1,AR140=1,AND(AK140=1,AI140=1),AO140=1),"淘汰","通过"))</f>
        <v/>
      </c>
      <c r="AW140" s="24">
        <f>IF($A140="","",IF(AU140="淘汰","",ROUND(SUMPRODUCT(Z140:AT140,Z$2:AT$2)/5,1)))</f>
        <v/>
      </c>
      <c r="AX140" s="24">
        <f>IF($A140="","",IF(AV140="淘汰","",ROUND(SUMPRODUCT(Z140:AT140,Z$3:AT$3)/5,1)))</f>
        <v/>
      </c>
    </row>
    <row r="141" ht="15.75" customHeight="1" s="25">
      <c r="A141" s="22" t="n"/>
      <c r="B141" s="20" t="n"/>
      <c r="C141" s="22" t="n"/>
      <c r="D141" s="22" t="n"/>
      <c r="E141" s="22" t="n"/>
      <c r="F141" s="22" t="n"/>
      <c r="G141" s="21" t="n"/>
      <c r="H141" s="21" t="n"/>
      <c r="I141" s="21" t="n"/>
      <c r="J141" s="21" t="n"/>
      <c r="K141" s="21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3">
        <f>IF(E141="","",IF('分位数阈值'!$D$2="","",IFS(E141&gt;='分位数阈值'!$D$2,5,E141&gt;='分位数阈值'!$E$2,4,E141&gt;='分位数阈值'!$F$2,3,E141&gt;='分位数阈值'!$G$2,2,TRUE,1)))</f>
        <v/>
      </c>
      <c r="AA141" s="23">
        <f>IF(F141="","",IF('分位数阈值'!$D$3="","",IFS(F141&gt;='分位数阈值'!$D$3,5,F141&gt;='分位数阈值'!$E$3,4,F141&gt;='分位数阈值'!$F$3,3,F141&gt;='分位数阈值'!$G$3,2,TRUE,1)))</f>
        <v/>
      </c>
      <c r="AB141" s="23">
        <f>IF(G141="","",IF('分位数阈值'!$D$4="","",IFS(G141&gt;='分位数阈值'!$D$4,5,G141&gt;='分位数阈值'!$E$4,4,G141&gt;='分位数阈值'!$F$4,3,G141&gt;='分位数阈值'!$G$4,2,TRUE,1)))</f>
        <v/>
      </c>
      <c r="AC141" s="23">
        <f>IF(H141="","",IF('分位数阈值'!$D$5="","",IFS(H141&gt;='分位数阈值'!$D$5,5,H141&gt;='分位数阈值'!$E$5,4,H141&gt;='分位数阈值'!$F$5,3,H141&gt;='分位数阈值'!$G$5,2,TRUE,1)))</f>
        <v/>
      </c>
      <c r="AD141" s="23">
        <f>IF(I141="","",IF('分位数阈值'!$D$6="","",IFS(I141&gt;='分位数阈值'!$D$6,5,I141&gt;='分位数阈值'!$E$6,4,I141&gt;='分位数阈值'!$F$6,3,I141&gt;='分位数阈值'!$G$6,2,TRUE,1)))</f>
        <v/>
      </c>
      <c r="AE141" s="23">
        <f>IF(J141="","",IF('分位数阈值'!$D$7="","",IFS(J141&gt;='分位数阈值'!$D$7,5,J141&gt;='分位数阈值'!$E$7,4,J141&gt;='分位数阈值'!$F$7,3,J141&gt;='分位数阈值'!$G$7,2,TRUE,1)))</f>
        <v/>
      </c>
      <c r="AF141" s="23">
        <f>IF(K141="","",IF('分位数阈值'!$D$8="","",IFS(K141&gt;='分位数阈值'!$D$8,5,K141&gt;='分位数阈值'!$E$8,4,K141&gt;='分位数阈值'!$F$8,3,K141&gt;='分位数阈值'!$G$8,2,TRUE,1)))</f>
        <v/>
      </c>
      <c r="AG141" s="23">
        <f>IF(L141="","",IF('分位数阈值'!$D$9="","",IFS(L141&gt;='分位数阈值'!$D$9,5,L141&gt;='分位数阈值'!$E$9,4,L141&gt;='分位数阈值'!$F$9,3,L141&gt;='分位数阈值'!$G$9,2,TRUE,1)))</f>
        <v/>
      </c>
      <c r="AH141" s="23">
        <f>IF(M141="","",IF('分位数阈值'!$D$10="","",IFS(M141&lt;='分位数阈值'!$G$10,5,M141&lt;='分位数阈值'!$F$10,4,M141&lt;='分位数阈值'!$E$10,3,M141&lt;='分位数阈值'!$D$10,2,TRUE,1)))</f>
        <v/>
      </c>
      <c r="AI141" s="23">
        <f>IF(N141="","",IF('分位数阈值'!$D$11="","",IFS(N141&lt;='分位数阈值'!$G$11,5,N141&lt;='分位数阈值'!$F$11,4,N141&lt;='分位数阈值'!$E$11,3,N141&lt;='分位数阈值'!$D$11,2,TRUE,1)))</f>
        <v/>
      </c>
      <c r="AJ141" s="23">
        <f>IF(P141="","",IF(P141=1,1,5))</f>
        <v/>
      </c>
      <c r="AK141" s="23">
        <f>IF(Q141="","",IF(Q141=1,1,5))</f>
        <v/>
      </c>
      <c r="AL141" s="23">
        <f>IF(O141="","",IF('分位数阈值'!$D$12="","",IFS(O141&gt;='分位数阈值'!$D$12,5,O141&gt;='分位数阈值'!$E$12,4,O141&gt;='分位数阈值'!$F$12,3,O141&gt;='分位数阈值'!$G$12,2,TRUE,1)))</f>
        <v/>
      </c>
      <c r="AM141" s="23">
        <f>IF(R141="","",IF('分位数阈值'!$D$13="","",IFS(R141&lt;='分位数阈值'!$G$13,5,R141&lt;='分位数阈值'!$F$13,4,R141&lt;='分位数阈值'!$E$13,3,R141&lt;='分位数阈值'!$D$13,2,TRUE,1)))</f>
        <v/>
      </c>
      <c r="AN141" s="23">
        <f>IF(S141="","",IF('分位数阈值'!$D$14="","",IFS(S141&lt;='分位数阈值'!$G$14,5,S141&lt;='分位数阈值'!$F$14,4,S141&lt;='分位数阈值'!$E$14,3,S141&lt;='分位数阈值'!$D$14,2,TRUE,1)))</f>
        <v/>
      </c>
      <c r="AO141" s="23">
        <f>IF(T141="","",IF('分位数阈值'!$D$15="","",IFS(T141&lt;='分位数阈值'!$G$15,5,T141&lt;='分位数阈值'!$F$15,4,T141&lt;='分位数阈值'!$E$15,3,T141&lt;='分位数阈值'!$D$15,2,TRUE,1)))</f>
        <v/>
      </c>
      <c r="AP141" s="23">
        <f>IF(U141="","",IF(U141=1,5,1))</f>
        <v/>
      </c>
      <c r="AQ141" s="23">
        <f>IF(V141="","",V141)</f>
        <v/>
      </c>
      <c r="AR141" s="23">
        <f>IF(W141="","",IF('分位数阈值'!$D$16="","",IFS(W141&lt;='分位数阈值'!$G$16,5,W141&lt;='分位数阈值'!$F$16,4,W141&lt;='分位数阈值'!$E$16,3,W141&lt;='分位数阈值'!$D$16,2,TRUE,1)))</f>
        <v/>
      </c>
      <c r="AS141" s="23">
        <f>IF(X141="","",X141)</f>
        <v/>
      </c>
      <c r="AT141" s="23">
        <f>IF(Y141="","",Y141)</f>
        <v/>
      </c>
      <c r="AU141" s="10">
        <f>IF($A141="","",IF(OR(Z141=1,AR141=1,AJ141=1),"淘汰","通过"))</f>
        <v/>
      </c>
      <c r="AV141" s="10">
        <f>IF($A141="","",IF(OR(AA141=1,AR141=1,AND(AK141=1,AI141=1),AO141=1),"淘汰","通过"))</f>
        <v/>
      </c>
      <c r="AW141" s="24">
        <f>IF($A141="","",IF(AU141="淘汰","",ROUND(SUMPRODUCT(Z141:AT141,Z$2:AT$2)/5,1)))</f>
        <v/>
      </c>
      <c r="AX141" s="24">
        <f>IF($A141="","",IF(AV141="淘汰","",ROUND(SUMPRODUCT(Z141:AT141,Z$3:AT$3)/5,1)))</f>
        <v/>
      </c>
    </row>
    <row r="142" ht="15.75" customHeight="1" s="25">
      <c r="A142" s="22" t="n"/>
      <c r="B142" s="20" t="n"/>
      <c r="C142" s="22" t="n"/>
      <c r="D142" s="22" t="n"/>
      <c r="E142" s="22" t="n"/>
      <c r="F142" s="22" t="n"/>
      <c r="G142" s="21" t="n"/>
      <c r="H142" s="21" t="n"/>
      <c r="I142" s="21" t="n"/>
      <c r="J142" s="21" t="n"/>
      <c r="K142" s="21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3">
        <f>IF(E142="","",IF('分位数阈值'!$D$2="","",IFS(E142&gt;='分位数阈值'!$D$2,5,E142&gt;='分位数阈值'!$E$2,4,E142&gt;='分位数阈值'!$F$2,3,E142&gt;='分位数阈值'!$G$2,2,TRUE,1)))</f>
        <v/>
      </c>
      <c r="AA142" s="23">
        <f>IF(F142="","",IF('分位数阈值'!$D$3="","",IFS(F142&gt;='分位数阈值'!$D$3,5,F142&gt;='分位数阈值'!$E$3,4,F142&gt;='分位数阈值'!$F$3,3,F142&gt;='分位数阈值'!$G$3,2,TRUE,1)))</f>
        <v/>
      </c>
      <c r="AB142" s="23">
        <f>IF(G142="","",IF('分位数阈值'!$D$4="","",IFS(G142&gt;='分位数阈值'!$D$4,5,G142&gt;='分位数阈值'!$E$4,4,G142&gt;='分位数阈值'!$F$4,3,G142&gt;='分位数阈值'!$G$4,2,TRUE,1)))</f>
        <v/>
      </c>
      <c r="AC142" s="23">
        <f>IF(H142="","",IF('分位数阈值'!$D$5="","",IFS(H142&gt;='分位数阈值'!$D$5,5,H142&gt;='分位数阈值'!$E$5,4,H142&gt;='分位数阈值'!$F$5,3,H142&gt;='分位数阈值'!$G$5,2,TRUE,1)))</f>
        <v/>
      </c>
      <c r="AD142" s="23">
        <f>IF(I142="","",IF('分位数阈值'!$D$6="","",IFS(I142&gt;='分位数阈值'!$D$6,5,I142&gt;='分位数阈值'!$E$6,4,I142&gt;='分位数阈值'!$F$6,3,I142&gt;='分位数阈值'!$G$6,2,TRUE,1)))</f>
        <v/>
      </c>
      <c r="AE142" s="23">
        <f>IF(J142="","",IF('分位数阈值'!$D$7="","",IFS(J142&gt;='分位数阈值'!$D$7,5,J142&gt;='分位数阈值'!$E$7,4,J142&gt;='分位数阈值'!$F$7,3,J142&gt;='分位数阈值'!$G$7,2,TRUE,1)))</f>
        <v/>
      </c>
      <c r="AF142" s="23">
        <f>IF(K142="","",IF('分位数阈值'!$D$8="","",IFS(K142&gt;='分位数阈值'!$D$8,5,K142&gt;='分位数阈值'!$E$8,4,K142&gt;='分位数阈值'!$F$8,3,K142&gt;='分位数阈值'!$G$8,2,TRUE,1)))</f>
        <v/>
      </c>
      <c r="AG142" s="23">
        <f>IF(L142="","",IF('分位数阈值'!$D$9="","",IFS(L142&gt;='分位数阈值'!$D$9,5,L142&gt;='分位数阈值'!$E$9,4,L142&gt;='分位数阈值'!$F$9,3,L142&gt;='分位数阈值'!$G$9,2,TRUE,1)))</f>
        <v/>
      </c>
      <c r="AH142" s="23">
        <f>IF(M142="","",IF('分位数阈值'!$D$10="","",IFS(M142&lt;='分位数阈值'!$G$10,5,M142&lt;='分位数阈值'!$F$10,4,M142&lt;='分位数阈值'!$E$10,3,M142&lt;='分位数阈值'!$D$10,2,TRUE,1)))</f>
        <v/>
      </c>
      <c r="AI142" s="23">
        <f>IF(N142="","",IF('分位数阈值'!$D$11="","",IFS(N142&lt;='分位数阈值'!$G$11,5,N142&lt;='分位数阈值'!$F$11,4,N142&lt;='分位数阈值'!$E$11,3,N142&lt;='分位数阈值'!$D$11,2,TRUE,1)))</f>
        <v/>
      </c>
      <c r="AJ142" s="23">
        <f>IF(P142="","",IF(P142=1,1,5))</f>
        <v/>
      </c>
      <c r="AK142" s="23">
        <f>IF(Q142="","",IF(Q142=1,1,5))</f>
        <v/>
      </c>
      <c r="AL142" s="23">
        <f>IF(O142="","",IF('分位数阈值'!$D$12="","",IFS(O142&gt;='分位数阈值'!$D$12,5,O142&gt;='分位数阈值'!$E$12,4,O142&gt;='分位数阈值'!$F$12,3,O142&gt;='分位数阈值'!$G$12,2,TRUE,1)))</f>
        <v/>
      </c>
      <c r="AM142" s="23">
        <f>IF(R142="","",IF('分位数阈值'!$D$13="","",IFS(R142&lt;='分位数阈值'!$G$13,5,R142&lt;='分位数阈值'!$F$13,4,R142&lt;='分位数阈值'!$E$13,3,R142&lt;='分位数阈值'!$D$13,2,TRUE,1)))</f>
        <v/>
      </c>
      <c r="AN142" s="23">
        <f>IF(S142="","",IF('分位数阈值'!$D$14="","",IFS(S142&lt;='分位数阈值'!$G$14,5,S142&lt;='分位数阈值'!$F$14,4,S142&lt;='分位数阈值'!$E$14,3,S142&lt;='分位数阈值'!$D$14,2,TRUE,1)))</f>
        <v/>
      </c>
      <c r="AO142" s="23">
        <f>IF(T142="","",IF('分位数阈值'!$D$15="","",IFS(T142&lt;='分位数阈值'!$G$15,5,T142&lt;='分位数阈值'!$F$15,4,T142&lt;='分位数阈值'!$E$15,3,T142&lt;='分位数阈值'!$D$15,2,TRUE,1)))</f>
        <v/>
      </c>
      <c r="AP142" s="23">
        <f>IF(U142="","",IF(U142=1,5,1))</f>
        <v/>
      </c>
      <c r="AQ142" s="23">
        <f>IF(V142="","",V142)</f>
        <v/>
      </c>
      <c r="AR142" s="23">
        <f>IF(W142="","",IF('分位数阈值'!$D$16="","",IFS(W142&lt;='分位数阈值'!$G$16,5,W142&lt;='分位数阈值'!$F$16,4,W142&lt;='分位数阈值'!$E$16,3,W142&lt;='分位数阈值'!$D$16,2,TRUE,1)))</f>
        <v/>
      </c>
      <c r="AS142" s="23">
        <f>IF(X142="","",X142)</f>
        <v/>
      </c>
      <c r="AT142" s="23">
        <f>IF(Y142="","",Y142)</f>
        <v/>
      </c>
      <c r="AU142" s="10">
        <f>IF($A142="","",IF(OR(Z142=1,AR142=1,AJ142=1),"淘汰","通过"))</f>
        <v/>
      </c>
      <c r="AV142" s="10">
        <f>IF($A142="","",IF(OR(AA142=1,AR142=1,AND(AK142=1,AI142=1),AO142=1),"淘汰","通过"))</f>
        <v/>
      </c>
      <c r="AW142" s="24">
        <f>IF($A142="","",IF(AU142="淘汰","",ROUND(SUMPRODUCT(Z142:AT142,Z$2:AT$2)/5,1)))</f>
        <v/>
      </c>
      <c r="AX142" s="24">
        <f>IF($A142="","",IF(AV142="淘汰","",ROUND(SUMPRODUCT(Z142:AT142,Z$3:AT$3)/5,1)))</f>
        <v/>
      </c>
    </row>
    <row r="143" ht="15.75" customHeight="1" s="25">
      <c r="A143" s="22" t="n"/>
      <c r="B143" s="20" t="n"/>
      <c r="C143" s="22" t="n"/>
      <c r="D143" s="22" t="n"/>
      <c r="E143" s="22" t="n"/>
      <c r="F143" s="22" t="n"/>
      <c r="G143" s="21" t="n"/>
      <c r="H143" s="21" t="n"/>
      <c r="I143" s="21" t="n"/>
      <c r="J143" s="21" t="n"/>
      <c r="K143" s="21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3">
        <f>IF(E143="","",IF('分位数阈值'!$D$2="","",IFS(E143&gt;='分位数阈值'!$D$2,5,E143&gt;='分位数阈值'!$E$2,4,E143&gt;='分位数阈值'!$F$2,3,E143&gt;='分位数阈值'!$G$2,2,TRUE,1)))</f>
        <v/>
      </c>
      <c r="AA143" s="23">
        <f>IF(F143="","",IF('分位数阈值'!$D$3="","",IFS(F143&gt;='分位数阈值'!$D$3,5,F143&gt;='分位数阈值'!$E$3,4,F143&gt;='分位数阈值'!$F$3,3,F143&gt;='分位数阈值'!$G$3,2,TRUE,1)))</f>
        <v/>
      </c>
      <c r="AB143" s="23">
        <f>IF(G143="","",IF('分位数阈值'!$D$4="","",IFS(G143&gt;='分位数阈值'!$D$4,5,G143&gt;='分位数阈值'!$E$4,4,G143&gt;='分位数阈值'!$F$4,3,G143&gt;='分位数阈值'!$G$4,2,TRUE,1)))</f>
        <v/>
      </c>
      <c r="AC143" s="23">
        <f>IF(H143="","",IF('分位数阈值'!$D$5="","",IFS(H143&gt;='分位数阈值'!$D$5,5,H143&gt;='分位数阈值'!$E$5,4,H143&gt;='分位数阈值'!$F$5,3,H143&gt;='分位数阈值'!$G$5,2,TRUE,1)))</f>
        <v/>
      </c>
      <c r="AD143" s="23">
        <f>IF(I143="","",IF('分位数阈值'!$D$6="","",IFS(I143&gt;='分位数阈值'!$D$6,5,I143&gt;='分位数阈值'!$E$6,4,I143&gt;='分位数阈值'!$F$6,3,I143&gt;='分位数阈值'!$G$6,2,TRUE,1)))</f>
        <v/>
      </c>
      <c r="AE143" s="23">
        <f>IF(J143="","",IF('分位数阈值'!$D$7="","",IFS(J143&gt;='分位数阈值'!$D$7,5,J143&gt;='分位数阈值'!$E$7,4,J143&gt;='分位数阈值'!$F$7,3,J143&gt;='分位数阈值'!$G$7,2,TRUE,1)))</f>
        <v/>
      </c>
      <c r="AF143" s="23">
        <f>IF(K143="","",IF('分位数阈值'!$D$8="","",IFS(K143&gt;='分位数阈值'!$D$8,5,K143&gt;='分位数阈值'!$E$8,4,K143&gt;='分位数阈值'!$F$8,3,K143&gt;='分位数阈值'!$G$8,2,TRUE,1)))</f>
        <v/>
      </c>
      <c r="AG143" s="23">
        <f>IF(L143="","",IF('分位数阈值'!$D$9="","",IFS(L143&gt;='分位数阈值'!$D$9,5,L143&gt;='分位数阈值'!$E$9,4,L143&gt;='分位数阈值'!$F$9,3,L143&gt;='分位数阈值'!$G$9,2,TRUE,1)))</f>
        <v/>
      </c>
      <c r="AH143" s="23">
        <f>IF(M143="","",IF('分位数阈值'!$D$10="","",IFS(M143&lt;='分位数阈值'!$G$10,5,M143&lt;='分位数阈值'!$F$10,4,M143&lt;='分位数阈值'!$E$10,3,M143&lt;='分位数阈值'!$D$10,2,TRUE,1)))</f>
        <v/>
      </c>
      <c r="AI143" s="23">
        <f>IF(N143="","",IF('分位数阈值'!$D$11="","",IFS(N143&lt;='分位数阈值'!$G$11,5,N143&lt;='分位数阈值'!$F$11,4,N143&lt;='分位数阈值'!$E$11,3,N143&lt;='分位数阈值'!$D$11,2,TRUE,1)))</f>
        <v/>
      </c>
      <c r="AJ143" s="23">
        <f>IF(P143="","",IF(P143=1,1,5))</f>
        <v/>
      </c>
      <c r="AK143" s="23">
        <f>IF(Q143="","",IF(Q143=1,1,5))</f>
        <v/>
      </c>
      <c r="AL143" s="23">
        <f>IF(O143="","",IF('分位数阈值'!$D$12="","",IFS(O143&gt;='分位数阈值'!$D$12,5,O143&gt;='分位数阈值'!$E$12,4,O143&gt;='分位数阈值'!$F$12,3,O143&gt;='分位数阈值'!$G$12,2,TRUE,1)))</f>
        <v/>
      </c>
      <c r="AM143" s="23">
        <f>IF(R143="","",IF('分位数阈值'!$D$13="","",IFS(R143&lt;='分位数阈值'!$G$13,5,R143&lt;='分位数阈值'!$F$13,4,R143&lt;='分位数阈值'!$E$13,3,R143&lt;='分位数阈值'!$D$13,2,TRUE,1)))</f>
        <v/>
      </c>
      <c r="AN143" s="23">
        <f>IF(S143="","",IF('分位数阈值'!$D$14="","",IFS(S143&lt;='分位数阈值'!$G$14,5,S143&lt;='分位数阈值'!$F$14,4,S143&lt;='分位数阈值'!$E$14,3,S143&lt;='分位数阈值'!$D$14,2,TRUE,1)))</f>
        <v/>
      </c>
      <c r="AO143" s="23">
        <f>IF(T143="","",IF('分位数阈值'!$D$15="","",IFS(T143&lt;='分位数阈值'!$G$15,5,T143&lt;='分位数阈值'!$F$15,4,T143&lt;='分位数阈值'!$E$15,3,T143&lt;='分位数阈值'!$D$15,2,TRUE,1)))</f>
        <v/>
      </c>
      <c r="AP143" s="23">
        <f>IF(U143="","",IF(U143=1,5,1))</f>
        <v/>
      </c>
      <c r="AQ143" s="23">
        <f>IF(V143="","",V143)</f>
        <v/>
      </c>
      <c r="AR143" s="23">
        <f>IF(W143="","",IF('分位数阈值'!$D$16="","",IFS(W143&lt;='分位数阈值'!$G$16,5,W143&lt;='分位数阈值'!$F$16,4,W143&lt;='分位数阈值'!$E$16,3,W143&lt;='分位数阈值'!$D$16,2,TRUE,1)))</f>
        <v/>
      </c>
      <c r="AS143" s="23">
        <f>IF(X143="","",X143)</f>
        <v/>
      </c>
      <c r="AT143" s="23">
        <f>IF(Y143="","",Y143)</f>
        <v/>
      </c>
      <c r="AU143" s="10">
        <f>IF($A143="","",IF(OR(Z143=1,AR143=1,AJ143=1),"淘汰","通过"))</f>
        <v/>
      </c>
      <c r="AV143" s="10">
        <f>IF($A143="","",IF(OR(AA143=1,AR143=1,AND(AK143=1,AI143=1),AO143=1),"淘汰","通过"))</f>
        <v/>
      </c>
      <c r="AW143" s="24">
        <f>IF($A143="","",IF(AU143="淘汰","",ROUND(SUMPRODUCT(Z143:AT143,Z$2:AT$2)/5,1)))</f>
        <v/>
      </c>
      <c r="AX143" s="24">
        <f>IF($A143="","",IF(AV143="淘汰","",ROUND(SUMPRODUCT(Z143:AT143,Z$3:AT$3)/5,1)))</f>
        <v/>
      </c>
    </row>
    <row r="144" ht="15.75" customHeight="1" s="25">
      <c r="A144" s="22" t="n"/>
      <c r="B144" s="20" t="n"/>
      <c r="C144" s="22" t="n"/>
      <c r="D144" s="22" t="n"/>
      <c r="E144" s="22" t="n"/>
      <c r="F144" s="22" t="n"/>
      <c r="G144" s="21" t="n"/>
      <c r="H144" s="21" t="n"/>
      <c r="I144" s="21" t="n"/>
      <c r="J144" s="21" t="n"/>
      <c r="K144" s="21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3">
        <f>IF(E144="","",IF('分位数阈值'!$D$2="","",IFS(E144&gt;='分位数阈值'!$D$2,5,E144&gt;='分位数阈值'!$E$2,4,E144&gt;='分位数阈值'!$F$2,3,E144&gt;='分位数阈值'!$G$2,2,TRUE,1)))</f>
        <v/>
      </c>
      <c r="AA144" s="23">
        <f>IF(F144="","",IF('分位数阈值'!$D$3="","",IFS(F144&gt;='分位数阈值'!$D$3,5,F144&gt;='分位数阈值'!$E$3,4,F144&gt;='分位数阈值'!$F$3,3,F144&gt;='分位数阈值'!$G$3,2,TRUE,1)))</f>
        <v/>
      </c>
      <c r="AB144" s="23">
        <f>IF(G144="","",IF('分位数阈值'!$D$4="","",IFS(G144&gt;='分位数阈值'!$D$4,5,G144&gt;='分位数阈值'!$E$4,4,G144&gt;='分位数阈值'!$F$4,3,G144&gt;='分位数阈值'!$G$4,2,TRUE,1)))</f>
        <v/>
      </c>
      <c r="AC144" s="23">
        <f>IF(H144="","",IF('分位数阈值'!$D$5="","",IFS(H144&gt;='分位数阈值'!$D$5,5,H144&gt;='分位数阈值'!$E$5,4,H144&gt;='分位数阈值'!$F$5,3,H144&gt;='分位数阈值'!$G$5,2,TRUE,1)))</f>
        <v/>
      </c>
      <c r="AD144" s="23">
        <f>IF(I144="","",IF('分位数阈值'!$D$6="","",IFS(I144&gt;='分位数阈值'!$D$6,5,I144&gt;='分位数阈值'!$E$6,4,I144&gt;='分位数阈值'!$F$6,3,I144&gt;='分位数阈值'!$G$6,2,TRUE,1)))</f>
        <v/>
      </c>
      <c r="AE144" s="23">
        <f>IF(J144="","",IF('分位数阈值'!$D$7="","",IFS(J144&gt;='分位数阈值'!$D$7,5,J144&gt;='分位数阈值'!$E$7,4,J144&gt;='分位数阈值'!$F$7,3,J144&gt;='分位数阈值'!$G$7,2,TRUE,1)))</f>
        <v/>
      </c>
      <c r="AF144" s="23">
        <f>IF(K144="","",IF('分位数阈值'!$D$8="","",IFS(K144&gt;='分位数阈值'!$D$8,5,K144&gt;='分位数阈值'!$E$8,4,K144&gt;='分位数阈值'!$F$8,3,K144&gt;='分位数阈值'!$G$8,2,TRUE,1)))</f>
        <v/>
      </c>
      <c r="AG144" s="23">
        <f>IF(L144="","",IF('分位数阈值'!$D$9="","",IFS(L144&gt;='分位数阈值'!$D$9,5,L144&gt;='分位数阈值'!$E$9,4,L144&gt;='分位数阈值'!$F$9,3,L144&gt;='分位数阈值'!$G$9,2,TRUE,1)))</f>
        <v/>
      </c>
      <c r="AH144" s="23">
        <f>IF(M144="","",IF('分位数阈值'!$D$10="","",IFS(M144&lt;='分位数阈值'!$G$10,5,M144&lt;='分位数阈值'!$F$10,4,M144&lt;='分位数阈值'!$E$10,3,M144&lt;='分位数阈值'!$D$10,2,TRUE,1)))</f>
        <v/>
      </c>
      <c r="AI144" s="23">
        <f>IF(N144="","",IF('分位数阈值'!$D$11="","",IFS(N144&lt;='分位数阈值'!$G$11,5,N144&lt;='分位数阈值'!$F$11,4,N144&lt;='分位数阈值'!$E$11,3,N144&lt;='分位数阈值'!$D$11,2,TRUE,1)))</f>
        <v/>
      </c>
      <c r="AJ144" s="23">
        <f>IF(P144="","",IF(P144=1,1,5))</f>
        <v/>
      </c>
      <c r="AK144" s="23">
        <f>IF(Q144="","",IF(Q144=1,1,5))</f>
        <v/>
      </c>
      <c r="AL144" s="23">
        <f>IF(O144="","",IF('分位数阈值'!$D$12="","",IFS(O144&gt;='分位数阈值'!$D$12,5,O144&gt;='分位数阈值'!$E$12,4,O144&gt;='分位数阈值'!$F$12,3,O144&gt;='分位数阈值'!$G$12,2,TRUE,1)))</f>
        <v/>
      </c>
      <c r="AM144" s="23">
        <f>IF(R144="","",IF('分位数阈值'!$D$13="","",IFS(R144&lt;='分位数阈值'!$G$13,5,R144&lt;='分位数阈值'!$F$13,4,R144&lt;='分位数阈值'!$E$13,3,R144&lt;='分位数阈值'!$D$13,2,TRUE,1)))</f>
        <v/>
      </c>
      <c r="AN144" s="23">
        <f>IF(S144="","",IF('分位数阈值'!$D$14="","",IFS(S144&lt;='分位数阈值'!$G$14,5,S144&lt;='分位数阈值'!$F$14,4,S144&lt;='分位数阈值'!$E$14,3,S144&lt;='分位数阈值'!$D$14,2,TRUE,1)))</f>
        <v/>
      </c>
      <c r="AO144" s="23">
        <f>IF(T144="","",IF('分位数阈值'!$D$15="","",IFS(T144&lt;='分位数阈值'!$G$15,5,T144&lt;='分位数阈值'!$F$15,4,T144&lt;='分位数阈值'!$E$15,3,T144&lt;='分位数阈值'!$D$15,2,TRUE,1)))</f>
        <v/>
      </c>
      <c r="AP144" s="23">
        <f>IF(U144="","",IF(U144=1,5,1))</f>
        <v/>
      </c>
      <c r="AQ144" s="23">
        <f>IF(V144="","",V144)</f>
        <v/>
      </c>
      <c r="AR144" s="23">
        <f>IF(W144="","",IF('分位数阈值'!$D$16="","",IFS(W144&lt;='分位数阈值'!$G$16,5,W144&lt;='分位数阈值'!$F$16,4,W144&lt;='分位数阈值'!$E$16,3,W144&lt;='分位数阈值'!$D$16,2,TRUE,1)))</f>
        <v/>
      </c>
      <c r="AS144" s="23">
        <f>IF(X144="","",X144)</f>
        <v/>
      </c>
      <c r="AT144" s="23">
        <f>IF(Y144="","",Y144)</f>
        <v/>
      </c>
      <c r="AU144" s="10">
        <f>IF($A144="","",IF(OR(Z144=1,AR144=1,AJ144=1),"淘汰","通过"))</f>
        <v/>
      </c>
      <c r="AV144" s="10">
        <f>IF($A144="","",IF(OR(AA144=1,AR144=1,AND(AK144=1,AI144=1),AO144=1),"淘汰","通过"))</f>
        <v/>
      </c>
      <c r="AW144" s="24">
        <f>IF($A144="","",IF(AU144="淘汰","",ROUND(SUMPRODUCT(Z144:AT144,Z$2:AT$2)/5,1)))</f>
        <v/>
      </c>
      <c r="AX144" s="24">
        <f>IF($A144="","",IF(AV144="淘汰","",ROUND(SUMPRODUCT(Z144:AT144,Z$3:AT$3)/5,1)))</f>
        <v/>
      </c>
    </row>
    <row r="145" ht="15.75" customHeight="1" s="25">
      <c r="A145" s="22" t="n"/>
      <c r="B145" s="20" t="n"/>
      <c r="C145" s="22" t="n"/>
      <c r="D145" s="22" t="n"/>
      <c r="E145" s="22" t="n"/>
      <c r="F145" s="22" t="n"/>
      <c r="G145" s="21" t="n"/>
      <c r="H145" s="21" t="n"/>
      <c r="I145" s="21" t="n"/>
      <c r="J145" s="21" t="n"/>
      <c r="K145" s="21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3">
        <f>IF(E145="","",IF('分位数阈值'!$D$2="","",IFS(E145&gt;='分位数阈值'!$D$2,5,E145&gt;='分位数阈值'!$E$2,4,E145&gt;='分位数阈值'!$F$2,3,E145&gt;='分位数阈值'!$G$2,2,TRUE,1)))</f>
        <v/>
      </c>
      <c r="AA145" s="23">
        <f>IF(F145="","",IF('分位数阈值'!$D$3="","",IFS(F145&gt;='分位数阈值'!$D$3,5,F145&gt;='分位数阈值'!$E$3,4,F145&gt;='分位数阈值'!$F$3,3,F145&gt;='分位数阈值'!$G$3,2,TRUE,1)))</f>
        <v/>
      </c>
      <c r="AB145" s="23">
        <f>IF(G145="","",IF('分位数阈值'!$D$4="","",IFS(G145&gt;='分位数阈值'!$D$4,5,G145&gt;='分位数阈值'!$E$4,4,G145&gt;='分位数阈值'!$F$4,3,G145&gt;='分位数阈值'!$G$4,2,TRUE,1)))</f>
        <v/>
      </c>
      <c r="AC145" s="23">
        <f>IF(H145="","",IF('分位数阈值'!$D$5="","",IFS(H145&gt;='分位数阈值'!$D$5,5,H145&gt;='分位数阈值'!$E$5,4,H145&gt;='分位数阈值'!$F$5,3,H145&gt;='分位数阈值'!$G$5,2,TRUE,1)))</f>
        <v/>
      </c>
      <c r="AD145" s="23">
        <f>IF(I145="","",IF('分位数阈值'!$D$6="","",IFS(I145&gt;='分位数阈值'!$D$6,5,I145&gt;='分位数阈值'!$E$6,4,I145&gt;='分位数阈值'!$F$6,3,I145&gt;='分位数阈值'!$G$6,2,TRUE,1)))</f>
        <v/>
      </c>
      <c r="AE145" s="23">
        <f>IF(J145="","",IF('分位数阈值'!$D$7="","",IFS(J145&gt;='分位数阈值'!$D$7,5,J145&gt;='分位数阈值'!$E$7,4,J145&gt;='分位数阈值'!$F$7,3,J145&gt;='分位数阈值'!$G$7,2,TRUE,1)))</f>
        <v/>
      </c>
      <c r="AF145" s="23">
        <f>IF(K145="","",IF('分位数阈值'!$D$8="","",IFS(K145&gt;='分位数阈值'!$D$8,5,K145&gt;='分位数阈值'!$E$8,4,K145&gt;='分位数阈值'!$F$8,3,K145&gt;='分位数阈值'!$G$8,2,TRUE,1)))</f>
        <v/>
      </c>
      <c r="AG145" s="23">
        <f>IF(L145="","",IF('分位数阈值'!$D$9="","",IFS(L145&gt;='分位数阈值'!$D$9,5,L145&gt;='分位数阈值'!$E$9,4,L145&gt;='分位数阈值'!$F$9,3,L145&gt;='分位数阈值'!$G$9,2,TRUE,1)))</f>
        <v/>
      </c>
      <c r="AH145" s="23">
        <f>IF(M145="","",IF('分位数阈值'!$D$10="","",IFS(M145&lt;='分位数阈值'!$G$10,5,M145&lt;='分位数阈值'!$F$10,4,M145&lt;='分位数阈值'!$E$10,3,M145&lt;='分位数阈值'!$D$10,2,TRUE,1)))</f>
        <v/>
      </c>
      <c r="AI145" s="23">
        <f>IF(N145="","",IF('分位数阈值'!$D$11="","",IFS(N145&lt;='分位数阈值'!$G$11,5,N145&lt;='分位数阈值'!$F$11,4,N145&lt;='分位数阈值'!$E$11,3,N145&lt;='分位数阈值'!$D$11,2,TRUE,1)))</f>
        <v/>
      </c>
      <c r="AJ145" s="23">
        <f>IF(P145="","",IF(P145=1,1,5))</f>
        <v/>
      </c>
      <c r="AK145" s="23">
        <f>IF(Q145="","",IF(Q145=1,1,5))</f>
        <v/>
      </c>
      <c r="AL145" s="23">
        <f>IF(O145="","",IF('分位数阈值'!$D$12="","",IFS(O145&gt;='分位数阈值'!$D$12,5,O145&gt;='分位数阈值'!$E$12,4,O145&gt;='分位数阈值'!$F$12,3,O145&gt;='分位数阈值'!$G$12,2,TRUE,1)))</f>
        <v/>
      </c>
      <c r="AM145" s="23">
        <f>IF(R145="","",IF('分位数阈值'!$D$13="","",IFS(R145&lt;='分位数阈值'!$G$13,5,R145&lt;='分位数阈值'!$F$13,4,R145&lt;='分位数阈值'!$E$13,3,R145&lt;='分位数阈值'!$D$13,2,TRUE,1)))</f>
        <v/>
      </c>
      <c r="AN145" s="23">
        <f>IF(S145="","",IF('分位数阈值'!$D$14="","",IFS(S145&lt;='分位数阈值'!$G$14,5,S145&lt;='分位数阈值'!$F$14,4,S145&lt;='分位数阈值'!$E$14,3,S145&lt;='分位数阈值'!$D$14,2,TRUE,1)))</f>
        <v/>
      </c>
      <c r="AO145" s="23">
        <f>IF(T145="","",IF('分位数阈值'!$D$15="","",IFS(T145&lt;='分位数阈值'!$G$15,5,T145&lt;='分位数阈值'!$F$15,4,T145&lt;='分位数阈值'!$E$15,3,T145&lt;='分位数阈值'!$D$15,2,TRUE,1)))</f>
        <v/>
      </c>
      <c r="AP145" s="23">
        <f>IF(U145="","",IF(U145=1,5,1))</f>
        <v/>
      </c>
      <c r="AQ145" s="23">
        <f>IF(V145="","",V145)</f>
        <v/>
      </c>
      <c r="AR145" s="23">
        <f>IF(W145="","",IF('分位数阈值'!$D$16="","",IFS(W145&lt;='分位数阈值'!$G$16,5,W145&lt;='分位数阈值'!$F$16,4,W145&lt;='分位数阈值'!$E$16,3,W145&lt;='分位数阈值'!$D$16,2,TRUE,1)))</f>
        <v/>
      </c>
      <c r="AS145" s="23">
        <f>IF(X145="","",X145)</f>
        <v/>
      </c>
      <c r="AT145" s="23">
        <f>IF(Y145="","",Y145)</f>
        <v/>
      </c>
      <c r="AU145" s="10">
        <f>IF($A145="","",IF(OR(Z145=1,AR145=1,AJ145=1),"淘汰","通过"))</f>
        <v/>
      </c>
      <c r="AV145" s="10">
        <f>IF($A145="","",IF(OR(AA145=1,AR145=1,AND(AK145=1,AI145=1),AO145=1),"淘汰","通过"))</f>
        <v/>
      </c>
      <c r="AW145" s="24">
        <f>IF($A145="","",IF(AU145="淘汰","",ROUND(SUMPRODUCT(Z145:AT145,Z$2:AT$2)/5,1)))</f>
        <v/>
      </c>
      <c r="AX145" s="24">
        <f>IF($A145="","",IF(AV145="淘汰","",ROUND(SUMPRODUCT(Z145:AT145,Z$3:AT$3)/5,1)))</f>
        <v/>
      </c>
    </row>
    <row r="146" ht="15.75" customHeight="1" s="25">
      <c r="A146" s="22" t="n"/>
      <c r="B146" s="20" t="n"/>
      <c r="C146" s="22" t="n"/>
      <c r="D146" s="22" t="n"/>
      <c r="E146" s="22" t="n"/>
      <c r="F146" s="22" t="n"/>
      <c r="G146" s="21" t="n"/>
      <c r="H146" s="21" t="n"/>
      <c r="I146" s="21" t="n"/>
      <c r="J146" s="21" t="n"/>
      <c r="K146" s="21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3">
        <f>IF(E146="","",IF('分位数阈值'!$D$2="","",IFS(E146&gt;='分位数阈值'!$D$2,5,E146&gt;='分位数阈值'!$E$2,4,E146&gt;='分位数阈值'!$F$2,3,E146&gt;='分位数阈值'!$G$2,2,TRUE,1)))</f>
        <v/>
      </c>
      <c r="AA146" s="23">
        <f>IF(F146="","",IF('分位数阈值'!$D$3="","",IFS(F146&gt;='分位数阈值'!$D$3,5,F146&gt;='分位数阈值'!$E$3,4,F146&gt;='分位数阈值'!$F$3,3,F146&gt;='分位数阈值'!$G$3,2,TRUE,1)))</f>
        <v/>
      </c>
      <c r="AB146" s="23">
        <f>IF(G146="","",IF('分位数阈值'!$D$4="","",IFS(G146&gt;='分位数阈值'!$D$4,5,G146&gt;='分位数阈值'!$E$4,4,G146&gt;='分位数阈值'!$F$4,3,G146&gt;='分位数阈值'!$G$4,2,TRUE,1)))</f>
        <v/>
      </c>
      <c r="AC146" s="23">
        <f>IF(H146="","",IF('分位数阈值'!$D$5="","",IFS(H146&gt;='分位数阈值'!$D$5,5,H146&gt;='分位数阈值'!$E$5,4,H146&gt;='分位数阈值'!$F$5,3,H146&gt;='分位数阈值'!$G$5,2,TRUE,1)))</f>
        <v/>
      </c>
      <c r="AD146" s="23">
        <f>IF(I146="","",IF('分位数阈值'!$D$6="","",IFS(I146&gt;='分位数阈值'!$D$6,5,I146&gt;='分位数阈值'!$E$6,4,I146&gt;='分位数阈值'!$F$6,3,I146&gt;='分位数阈值'!$G$6,2,TRUE,1)))</f>
        <v/>
      </c>
      <c r="AE146" s="23">
        <f>IF(J146="","",IF('分位数阈值'!$D$7="","",IFS(J146&gt;='分位数阈值'!$D$7,5,J146&gt;='分位数阈值'!$E$7,4,J146&gt;='分位数阈值'!$F$7,3,J146&gt;='分位数阈值'!$G$7,2,TRUE,1)))</f>
        <v/>
      </c>
      <c r="AF146" s="23">
        <f>IF(K146="","",IF('分位数阈值'!$D$8="","",IFS(K146&gt;='分位数阈值'!$D$8,5,K146&gt;='分位数阈值'!$E$8,4,K146&gt;='分位数阈值'!$F$8,3,K146&gt;='分位数阈值'!$G$8,2,TRUE,1)))</f>
        <v/>
      </c>
      <c r="AG146" s="23">
        <f>IF(L146="","",IF('分位数阈值'!$D$9="","",IFS(L146&gt;='分位数阈值'!$D$9,5,L146&gt;='分位数阈值'!$E$9,4,L146&gt;='分位数阈值'!$F$9,3,L146&gt;='分位数阈值'!$G$9,2,TRUE,1)))</f>
        <v/>
      </c>
      <c r="AH146" s="23">
        <f>IF(M146="","",IF('分位数阈值'!$D$10="","",IFS(M146&lt;='分位数阈值'!$G$10,5,M146&lt;='分位数阈值'!$F$10,4,M146&lt;='分位数阈值'!$E$10,3,M146&lt;='分位数阈值'!$D$10,2,TRUE,1)))</f>
        <v/>
      </c>
      <c r="AI146" s="23">
        <f>IF(N146="","",IF('分位数阈值'!$D$11="","",IFS(N146&lt;='分位数阈值'!$G$11,5,N146&lt;='分位数阈值'!$F$11,4,N146&lt;='分位数阈值'!$E$11,3,N146&lt;='分位数阈值'!$D$11,2,TRUE,1)))</f>
        <v/>
      </c>
      <c r="AJ146" s="23">
        <f>IF(P146="","",IF(P146=1,1,5))</f>
        <v/>
      </c>
      <c r="AK146" s="23">
        <f>IF(Q146="","",IF(Q146=1,1,5))</f>
        <v/>
      </c>
      <c r="AL146" s="23">
        <f>IF(O146="","",IF('分位数阈值'!$D$12="","",IFS(O146&gt;='分位数阈值'!$D$12,5,O146&gt;='分位数阈值'!$E$12,4,O146&gt;='分位数阈值'!$F$12,3,O146&gt;='分位数阈值'!$G$12,2,TRUE,1)))</f>
        <v/>
      </c>
      <c r="AM146" s="23">
        <f>IF(R146="","",IF('分位数阈值'!$D$13="","",IFS(R146&lt;='分位数阈值'!$G$13,5,R146&lt;='分位数阈值'!$F$13,4,R146&lt;='分位数阈值'!$E$13,3,R146&lt;='分位数阈值'!$D$13,2,TRUE,1)))</f>
        <v/>
      </c>
      <c r="AN146" s="23">
        <f>IF(S146="","",IF('分位数阈值'!$D$14="","",IFS(S146&lt;='分位数阈值'!$G$14,5,S146&lt;='分位数阈值'!$F$14,4,S146&lt;='分位数阈值'!$E$14,3,S146&lt;='分位数阈值'!$D$14,2,TRUE,1)))</f>
        <v/>
      </c>
      <c r="AO146" s="23">
        <f>IF(T146="","",IF('分位数阈值'!$D$15="","",IFS(T146&lt;='分位数阈值'!$G$15,5,T146&lt;='分位数阈值'!$F$15,4,T146&lt;='分位数阈值'!$E$15,3,T146&lt;='分位数阈值'!$D$15,2,TRUE,1)))</f>
        <v/>
      </c>
      <c r="AP146" s="23">
        <f>IF(U146="","",IF(U146=1,5,1))</f>
        <v/>
      </c>
      <c r="AQ146" s="23">
        <f>IF(V146="","",V146)</f>
        <v/>
      </c>
      <c r="AR146" s="23">
        <f>IF(W146="","",IF('分位数阈值'!$D$16="","",IFS(W146&lt;='分位数阈值'!$G$16,5,W146&lt;='分位数阈值'!$F$16,4,W146&lt;='分位数阈值'!$E$16,3,W146&lt;='分位数阈值'!$D$16,2,TRUE,1)))</f>
        <v/>
      </c>
      <c r="AS146" s="23">
        <f>IF(X146="","",X146)</f>
        <v/>
      </c>
      <c r="AT146" s="23">
        <f>IF(Y146="","",Y146)</f>
        <v/>
      </c>
      <c r="AU146" s="10">
        <f>IF($A146="","",IF(OR(Z146=1,AR146=1,AJ146=1),"淘汰","通过"))</f>
        <v/>
      </c>
      <c r="AV146" s="10">
        <f>IF($A146="","",IF(OR(AA146=1,AR146=1,AND(AK146=1,AI146=1),AO146=1),"淘汰","通过"))</f>
        <v/>
      </c>
      <c r="AW146" s="24">
        <f>IF($A146="","",IF(AU146="淘汰","",ROUND(SUMPRODUCT(Z146:AT146,Z$2:AT$2)/5,1)))</f>
        <v/>
      </c>
      <c r="AX146" s="24">
        <f>IF($A146="","",IF(AV146="淘汰","",ROUND(SUMPRODUCT(Z146:AT146,Z$3:AT$3)/5,1)))</f>
        <v/>
      </c>
    </row>
    <row r="147" ht="15.75" customHeight="1" s="25">
      <c r="A147" s="22" t="n"/>
      <c r="B147" s="20" t="n"/>
      <c r="C147" s="22" t="n"/>
      <c r="D147" s="22" t="n"/>
      <c r="E147" s="22" t="n"/>
      <c r="F147" s="22" t="n"/>
      <c r="G147" s="21" t="n"/>
      <c r="H147" s="21" t="n"/>
      <c r="I147" s="21" t="n"/>
      <c r="J147" s="21" t="n"/>
      <c r="K147" s="21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3">
        <f>IF(E147="","",IF('分位数阈值'!$D$2="","",IFS(E147&gt;='分位数阈值'!$D$2,5,E147&gt;='分位数阈值'!$E$2,4,E147&gt;='分位数阈值'!$F$2,3,E147&gt;='分位数阈值'!$G$2,2,TRUE,1)))</f>
        <v/>
      </c>
      <c r="AA147" s="23">
        <f>IF(F147="","",IF('分位数阈值'!$D$3="","",IFS(F147&gt;='分位数阈值'!$D$3,5,F147&gt;='分位数阈值'!$E$3,4,F147&gt;='分位数阈值'!$F$3,3,F147&gt;='分位数阈值'!$G$3,2,TRUE,1)))</f>
        <v/>
      </c>
      <c r="AB147" s="23">
        <f>IF(G147="","",IF('分位数阈值'!$D$4="","",IFS(G147&gt;='分位数阈值'!$D$4,5,G147&gt;='分位数阈值'!$E$4,4,G147&gt;='分位数阈值'!$F$4,3,G147&gt;='分位数阈值'!$G$4,2,TRUE,1)))</f>
        <v/>
      </c>
      <c r="AC147" s="23">
        <f>IF(H147="","",IF('分位数阈值'!$D$5="","",IFS(H147&gt;='分位数阈值'!$D$5,5,H147&gt;='分位数阈值'!$E$5,4,H147&gt;='分位数阈值'!$F$5,3,H147&gt;='分位数阈值'!$G$5,2,TRUE,1)))</f>
        <v/>
      </c>
      <c r="AD147" s="23">
        <f>IF(I147="","",IF('分位数阈值'!$D$6="","",IFS(I147&gt;='分位数阈值'!$D$6,5,I147&gt;='分位数阈值'!$E$6,4,I147&gt;='分位数阈值'!$F$6,3,I147&gt;='分位数阈值'!$G$6,2,TRUE,1)))</f>
        <v/>
      </c>
      <c r="AE147" s="23">
        <f>IF(J147="","",IF('分位数阈值'!$D$7="","",IFS(J147&gt;='分位数阈值'!$D$7,5,J147&gt;='分位数阈值'!$E$7,4,J147&gt;='分位数阈值'!$F$7,3,J147&gt;='分位数阈值'!$G$7,2,TRUE,1)))</f>
        <v/>
      </c>
      <c r="AF147" s="23">
        <f>IF(K147="","",IF('分位数阈值'!$D$8="","",IFS(K147&gt;='分位数阈值'!$D$8,5,K147&gt;='分位数阈值'!$E$8,4,K147&gt;='分位数阈值'!$F$8,3,K147&gt;='分位数阈值'!$G$8,2,TRUE,1)))</f>
        <v/>
      </c>
      <c r="AG147" s="23">
        <f>IF(L147="","",IF('分位数阈值'!$D$9="","",IFS(L147&gt;='分位数阈值'!$D$9,5,L147&gt;='分位数阈值'!$E$9,4,L147&gt;='分位数阈值'!$F$9,3,L147&gt;='分位数阈值'!$G$9,2,TRUE,1)))</f>
        <v/>
      </c>
      <c r="AH147" s="23">
        <f>IF(M147="","",IF('分位数阈值'!$D$10="","",IFS(M147&lt;='分位数阈值'!$G$10,5,M147&lt;='分位数阈值'!$F$10,4,M147&lt;='分位数阈值'!$E$10,3,M147&lt;='分位数阈值'!$D$10,2,TRUE,1)))</f>
        <v/>
      </c>
      <c r="AI147" s="23">
        <f>IF(N147="","",IF('分位数阈值'!$D$11="","",IFS(N147&lt;='分位数阈值'!$G$11,5,N147&lt;='分位数阈值'!$F$11,4,N147&lt;='分位数阈值'!$E$11,3,N147&lt;='分位数阈值'!$D$11,2,TRUE,1)))</f>
        <v/>
      </c>
      <c r="AJ147" s="23">
        <f>IF(P147="","",IF(P147=1,1,5))</f>
        <v/>
      </c>
      <c r="AK147" s="23">
        <f>IF(Q147="","",IF(Q147=1,1,5))</f>
        <v/>
      </c>
      <c r="AL147" s="23">
        <f>IF(O147="","",IF('分位数阈值'!$D$12="","",IFS(O147&gt;='分位数阈值'!$D$12,5,O147&gt;='分位数阈值'!$E$12,4,O147&gt;='分位数阈值'!$F$12,3,O147&gt;='分位数阈值'!$G$12,2,TRUE,1)))</f>
        <v/>
      </c>
      <c r="AM147" s="23">
        <f>IF(R147="","",IF('分位数阈值'!$D$13="","",IFS(R147&lt;='分位数阈值'!$G$13,5,R147&lt;='分位数阈值'!$F$13,4,R147&lt;='分位数阈值'!$E$13,3,R147&lt;='分位数阈值'!$D$13,2,TRUE,1)))</f>
        <v/>
      </c>
      <c r="AN147" s="23">
        <f>IF(S147="","",IF('分位数阈值'!$D$14="","",IFS(S147&lt;='分位数阈值'!$G$14,5,S147&lt;='分位数阈值'!$F$14,4,S147&lt;='分位数阈值'!$E$14,3,S147&lt;='分位数阈值'!$D$14,2,TRUE,1)))</f>
        <v/>
      </c>
      <c r="AO147" s="23">
        <f>IF(T147="","",IF('分位数阈值'!$D$15="","",IFS(T147&lt;='分位数阈值'!$G$15,5,T147&lt;='分位数阈值'!$F$15,4,T147&lt;='分位数阈值'!$E$15,3,T147&lt;='分位数阈值'!$D$15,2,TRUE,1)))</f>
        <v/>
      </c>
      <c r="AP147" s="23">
        <f>IF(U147="","",IF(U147=1,5,1))</f>
        <v/>
      </c>
      <c r="AQ147" s="23">
        <f>IF(V147="","",V147)</f>
        <v/>
      </c>
      <c r="AR147" s="23">
        <f>IF(W147="","",IF('分位数阈值'!$D$16="","",IFS(W147&lt;='分位数阈值'!$G$16,5,W147&lt;='分位数阈值'!$F$16,4,W147&lt;='分位数阈值'!$E$16,3,W147&lt;='分位数阈值'!$D$16,2,TRUE,1)))</f>
        <v/>
      </c>
      <c r="AS147" s="23">
        <f>IF(X147="","",X147)</f>
        <v/>
      </c>
      <c r="AT147" s="23">
        <f>IF(Y147="","",Y147)</f>
        <v/>
      </c>
      <c r="AU147" s="10">
        <f>IF($A147="","",IF(OR(Z147=1,AR147=1,AJ147=1),"淘汰","通过"))</f>
        <v/>
      </c>
      <c r="AV147" s="10">
        <f>IF($A147="","",IF(OR(AA147=1,AR147=1,AND(AK147=1,AI147=1),AO147=1),"淘汰","通过"))</f>
        <v/>
      </c>
      <c r="AW147" s="24">
        <f>IF($A147="","",IF(AU147="淘汰","",ROUND(SUMPRODUCT(Z147:AT147,Z$2:AT$2)/5,1)))</f>
        <v/>
      </c>
      <c r="AX147" s="24">
        <f>IF($A147="","",IF(AV147="淘汰","",ROUND(SUMPRODUCT(Z147:AT147,Z$3:AT$3)/5,1)))</f>
        <v/>
      </c>
    </row>
    <row r="148" ht="15.75" customHeight="1" s="25">
      <c r="A148" s="22" t="n"/>
      <c r="B148" s="20" t="n"/>
      <c r="C148" s="22" t="n"/>
      <c r="D148" s="22" t="n"/>
      <c r="E148" s="22" t="n"/>
      <c r="F148" s="22" t="n"/>
      <c r="G148" s="21" t="n"/>
      <c r="H148" s="21" t="n"/>
      <c r="I148" s="21" t="n"/>
      <c r="J148" s="21" t="n"/>
      <c r="K148" s="21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3">
        <f>IF(E148="","",IF('分位数阈值'!$D$2="","",IFS(E148&gt;='分位数阈值'!$D$2,5,E148&gt;='分位数阈值'!$E$2,4,E148&gt;='分位数阈值'!$F$2,3,E148&gt;='分位数阈值'!$G$2,2,TRUE,1)))</f>
        <v/>
      </c>
      <c r="AA148" s="23">
        <f>IF(F148="","",IF('分位数阈值'!$D$3="","",IFS(F148&gt;='分位数阈值'!$D$3,5,F148&gt;='分位数阈值'!$E$3,4,F148&gt;='分位数阈值'!$F$3,3,F148&gt;='分位数阈值'!$G$3,2,TRUE,1)))</f>
        <v/>
      </c>
      <c r="AB148" s="23">
        <f>IF(G148="","",IF('分位数阈值'!$D$4="","",IFS(G148&gt;='分位数阈值'!$D$4,5,G148&gt;='分位数阈值'!$E$4,4,G148&gt;='分位数阈值'!$F$4,3,G148&gt;='分位数阈值'!$G$4,2,TRUE,1)))</f>
        <v/>
      </c>
      <c r="AC148" s="23">
        <f>IF(H148="","",IF('分位数阈值'!$D$5="","",IFS(H148&gt;='分位数阈值'!$D$5,5,H148&gt;='分位数阈值'!$E$5,4,H148&gt;='分位数阈值'!$F$5,3,H148&gt;='分位数阈值'!$G$5,2,TRUE,1)))</f>
        <v/>
      </c>
      <c r="AD148" s="23">
        <f>IF(I148="","",IF('分位数阈值'!$D$6="","",IFS(I148&gt;='分位数阈值'!$D$6,5,I148&gt;='分位数阈值'!$E$6,4,I148&gt;='分位数阈值'!$F$6,3,I148&gt;='分位数阈值'!$G$6,2,TRUE,1)))</f>
        <v/>
      </c>
      <c r="AE148" s="23">
        <f>IF(J148="","",IF('分位数阈值'!$D$7="","",IFS(J148&gt;='分位数阈值'!$D$7,5,J148&gt;='分位数阈值'!$E$7,4,J148&gt;='分位数阈值'!$F$7,3,J148&gt;='分位数阈值'!$G$7,2,TRUE,1)))</f>
        <v/>
      </c>
      <c r="AF148" s="23">
        <f>IF(K148="","",IF('分位数阈值'!$D$8="","",IFS(K148&gt;='分位数阈值'!$D$8,5,K148&gt;='分位数阈值'!$E$8,4,K148&gt;='分位数阈值'!$F$8,3,K148&gt;='分位数阈值'!$G$8,2,TRUE,1)))</f>
        <v/>
      </c>
      <c r="AG148" s="23">
        <f>IF(L148="","",IF('分位数阈值'!$D$9="","",IFS(L148&gt;='分位数阈值'!$D$9,5,L148&gt;='分位数阈值'!$E$9,4,L148&gt;='分位数阈值'!$F$9,3,L148&gt;='分位数阈值'!$G$9,2,TRUE,1)))</f>
        <v/>
      </c>
      <c r="AH148" s="23">
        <f>IF(M148="","",IF('分位数阈值'!$D$10="","",IFS(M148&lt;='分位数阈值'!$G$10,5,M148&lt;='分位数阈值'!$F$10,4,M148&lt;='分位数阈值'!$E$10,3,M148&lt;='分位数阈值'!$D$10,2,TRUE,1)))</f>
        <v/>
      </c>
      <c r="AI148" s="23">
        <f>IF(N148="","",IF('分位数阈值'!$D$11="","",IFS(N148&lt;='分位数阈值'!$G$11,5,N148&lt;='分位数阈值'!$F$11,4,N148&lt;='分位数阈值'!$E$11,3,N148&lt;='分位数阈值'!$D$11,2,TRUE,1)))</f>
        <v/>
      </c>
      <c r="AJ148" s="23">
        <f>IF(P148="","",IF(P148=1,1,5))</f>
        <v/>
      </c>
      <c r="AK148" s="23">
        <f>IF(Q148="","",IF(Q148=1,1,5))</f>
        <v/>
      </c>
      <c r="AL148" s="23">
        <f>IF(O148="","",IF('分位数阈值'!$D$12="","",IFS(O148&gt;='分位数阈值'!$D$12,5,O148&gt;='分位数阈值'!$E$12,4,O148&gt;='分位数阈值'!$F$12,3,O148&gt;='分位数阈值'!$G$12,2,TRUE,1)))</f>
        <v/>
      </c>
      <c r="AM148" s="23">
        <f>IF(R148="","",IF('分位数阈值'!$D$13="","",IFS(R148&lt;='分位数阈值'!$G$13,5,R148&lt;='分位数阈值'!$F$13,4,R148&lt;='分位数阈值'!$E$13,3,R148&lt;='分位数阈值'!$D$13,2,TRUE,1)))</f>
        <v/>
      </c>
      <c r="AN148" s="23">
        <f>IF(S148="","",IF('分位数阈值'!$D$14="","",IFS(S148&lt;='分位数阈值'!$G$14,5,S148&lt;='分位数阈值'!$F$14,4,S148&lt;='分位数阈值'!$E$14,3,S148&lt;='分位数阈值'!$D$14,2,TRUE,1)))</f>
        <v/>
      </c>
      <c r="AO148" s="23">
        <f>IF(T148="","",IF('分位数阈值'!$D$15="","",IFS(T148&lt;='分位数阈值'!$G$15,5,T148&lt;='分位数阈值'!$F$15,4,T148&lt;='分位数阈值'!$E$15,3,T148&lt;='分位数阈值'!$D$15,2,TRUE,1)))</f>
        <v/>
      </c>
      <c r="AP148" s="23">
        <f>IF(U148="","",IF(U148=1,5,1))</f>
        <v/>
      </c>
      <c r="AQ148" s="23">
        <f>IF(V148="","",V148)</f>
        <v/>
      </c>
      <c r="AR148" s="23">
        <f>IF(W148="","",IF('分位数阈值'!$D$16="","",IFS(W148&lt;='分位数阈值'!$G$16,5,W148&lt;='分位数阈值'!$F$16,4,W148&lt;='分位数阈值'!$E$16,3,W148&lt;='分位数阈值'!$D$16,2,TRUE,1)))</f>
        <v/>
      </c>
      <c r="AS148" s="23">
        <f>IF(X148="","",X148)</f>
        <v/>
      </c>
      <c r="AT148" s="23">
        <f>IF(Y148="","",Y148)</f>
        <v/>
      </c>
      <c r="AU148" s="10">
        <f>IF($A148="","",IF(OR(Z148=1,AR148=1,AJ148=1),"淘汰","通过"))</f>
        <v/>
      </c>
      <c r="AV148" s="10">
        <f>IF($A148="","",IF(OR(AA148=1,AR148=1,AND(AK148=1,AI148=1),AO148=1),"淘汰","通过"))</f>
        <v/>
      </c>
      <c r="AW148" s="24">
        <f>IF($A148="","",IF(AU148="淘汰","",ROUND(SUMPRODUCT(Z148:AT148,Z$2:AT$2)/5,1)))</f>
        <v/>
      </c>
      <c r="AX148" s="24">
        <f>IF($A148="","",IF(AV148="淘汰","",ROUND(SUMPRODUCT(Z148:AT148,Z$3:AT$3)/5,1)))</f>
        <v/>
      </c>
    </row>
    <row r="149" ht="15.75" customHeight="1" s="25">
      <c r="A149" s="22" t="n"/>
      <c r="B149" s="20" t="n"/>
      <c r="C149" s="22" t="n"/>
      <c r="D149" s="22" t="n"/>
      <c r="E149" s="22" t="n"/>
      <c r="F149" s="22" t="n"/>
      <c r="G149" s="21" t="n"/>
      <c r="H149" s="21" t="n"/>
      <c r="I149" s="21" t="n"/>
      <c r="J149" s="21" t="n"/>
      <c r="K149" s="21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3">
        <f>IF(E149="","",IF('分位数阈值'!$D$2="","",IFS(E149&gt;='分位数阈值'!$D$2,5,E149&gt;='分位数阈值'!$E$2,4,E149&gt;='分位数阈值'!$F$2,3,E149&gt;='分位数阈值'!$G$2,2,TRUE,1)))</f>
        <v/>
      </c>
      <c r="AA149" s="23">
        <f>IF(F149="","",IF('分位数阈值'!$D$3="","",IFS(F149&gt;='分位数阈值'!$D$3,5,F149&gt;='分位数阈值'!$E$3,4,F149&gt;='分位数阈值'!$F$3,3,F149&gt;='分位数阈值'!$G$3,2,TRUE,1)))</f>
        <v/>
      </c>
      <c r="AB149" s="23">
        <f>IF(G149="","",IF('分位数阈值'!$D$4="","",IFS(G149&gt;='分位数阈值'!$D$4,5,G149&gt;='分位数阈值'!$E$4,4,G149&gt;='分位数阈值'!$F$4,3,G149&gt;='分位数阈值'!$G$4,2,TRUE,1)))</f>
        <v/>
      </c>
      <c r="AC149" s="23">
        <f>IF(H149="","",IF('分位数阈值'!$D$5="","",IFS(H149&gt;='分位数阈值'!$D$5,5,H149&gt;='分位数阈值'!$E$5,4,H149&gt;='分位数阈值'!$F$5,3,H149&gt;='分位数阈值'!$G$5,2,TRUE,1)))</f>
        <v/>
      </c>
      <c r="AD149" s="23">
        <f>IF(I149="","",IF('分位数阈值'!$D$6="","",IFS(I149&gt;='分位数阈值'!$D$6,5,I149&gt;='分位数阈值'!$E$6,4,I149&gt;='分位数阈值'!$F$6,3,I149&gt;='分位数阈值'!$G$6,2,TRUE,1)))</f>
        <v/>
      </c>
      <c r="AE149" s="23">
        <f>IF(J149="","",IF('分位数阈值'!$D$7="","",IFS(J149&gt;='分位数阈值'!$D$7,5,J149&gt;='分位数阈值'!$E$7,4,J149&gt;='分位数阈值'!$F$7,3,J149&gt;='分位数阈值'!$G$7,2,TRUE,1)))</f>
        <v/>
      </c>
      <c r="AF149" s="23">
        <f>IF(K149="","",IF('分位数阈值'!$D$8="","",IFS(K149&gt;='分位数阈值'!$D$8,5,K149&gt;='分位数阈值'!$E$8,4,K149&gt;='分位数阈值'!$F$8,3,K149&gt;='分位数阈值'!$G$8,2,TRUE,1)))</f>
        <v/>
      </c>
      <c r="AG149" s="23">
        <f>IF(L149="","",IF('分位数阈值'!$D$9="","",IFS(L149&gt;='分位数阈值'!$D$9,5,L149&gt;='分位数阈值'!$E$9,4,L149&gt;='分位数阈值'!$F$9,3,L149&gt;='分位数阈值'!$G$9,2,TRUE,1)))</f>
        <v/>
      </c>
      <c r="AH149" s="23">
        <f>IF(M149="","",IF('分位数阈值'!$D$10="","",IFS(M149&lt;='分位数阈值'!$G$10,5,M149&lt;='分位数阈值'!$F$10,4,M149&lt;='分位数阈值'!$E$10,3,M149&lt;='分位数阈值'!$D$10,2,TRUE,1)))</f>
        <v/>
      </c>
      <c r="AI149" s="23">
        <f>IF(N149="","",IF('分位数阈值'!$D$11="","",IFS(N149&lt;='分位数阈值'!$G$11,5,N149&lt;='分位数阈值'!$F$11,4,N149&lt;='分位数阈值'!$E$11,3,N149&lt;='分位数阈值'!$D$11,2,TRUE,1)))</f>
        <v/>
      </c>
      <c r="AJ149" s="23">
        <f>IF(P149="","",IF(P149=1,1,5))</f>
        <v/>
      </c>
      <c r="AK149" s="23">
        <f>IF(Q149="","",IF(Q149=1,1,5))</f>
        <v/>
      </c>
      <c r="AL149" s="23">
        <f>IF(O149="","",IF('分位数阈值'!$D$12="","",IFS(O149&gt;='分位数阈值'!$D$12,5,O149&gt;='分位数阈值'!$E$12,4,O149&gt;='分位数阈值'!$F$12,3,O149&gt;='分位数阈值'!$G$12,2,TRUE,1)))</f>
        <v/>
      </c>
      <c r="AM149" s="23">
        <f>IF(R149="","",IF('分位数阈值'!$D$13="","",IFS(R149&lt;='分位数阈值'!$G$13,5,R149&lt;='分位数阈值'!$F$13,4,R149&lt;='分位数阈值'!$E$13,3,R149&lt;='分位数阈值'!$D$13,2,TRUE,1)))</f>
        <v/>
      </c>
      <c r="AN149" s="23">
        <f>IF(S149="","",IF('分位数阈值'!$D$14="","",IFS(S149&lt;='分位数阈值'!$G$14,5,S149&lt;='分位数阈值'!$F$14,4,S149&lt;='分位数阈值'!$E$14,3,S149&lt;='分位数阈值'!$D$14,2,TRUE,1)))</f>
        <v/>
      </c>
      <c r="AO149" s="23">
        <f>IF(T149="","",IF('分位数阈值'!$D$15="","",IFS(T149&lt;='分位数阈值'!$G$15,5,T149&lt;='分位数阈值'!$F$15,4,T149&lt;='分位数阈值'!$E$15,3,T149&lt;='分位数阈值'!$D$15,2,TRUE,1)))</f>
        <v/>
      </c>
      <c r="AP149" s="23">
        <f>IF(U149="","",IF(U149=1,5,1))</f>
        <v/>
      </c>
      <c r="AQ149" s="23">
        <f>IF(V149="","",V149)</f>
        <v/>
      </c>
      <c r="AR149" s="23">
        <f>IF(W149="","",IF('分位数阈值'!$D$16="","",IFS(W149&lt;='分位数阈值'!$G$16,5,W149&lt;='分位数阈值'!$F$16,4,W149&lt;='分位数阈值'!$E$16,3,W149&lt;='分位数阈值'!$D$16,2,TRUE,1)))</f>
        <v/>
      </c>
      <c r="AS149" s="23">
        <f>IF(X149="","",X149)</f>
        <v/>
      </c>
      <c r="AT149" s="23">
        <f>IF(Y149="","",Y149)</f>
        <v/>
      </c>
      <c r="AU149" s="10">
        <f>IF($A149="","",IF(OR(Z149=1,AR149=1,AJ149=1),"淘汰","通过"))</f>
        <v/>
      </c>
      <c r="AV149" s="10">
        <f>IF($A149="","",IF(OR(AA149=1,AR149=1,AND(AK149=1,AI149=1),AO149=1),"淘汰","通过"))</f>
        <v/>
      </c>
      <c r="AW149" s="24">
        <f>IF($A149="","",IF(AU149="淘汰","",ROUND(SUMPRODUCT(Z149:AT149,Z$2:AT$2)/5,1)))</f>
        <v/>
      </c>
      <c r="AX149" s="24">
        <f>IF($A149="","",IF(AV149="淘汰","",ROUND(SUMPRODUCT(Z149:AT149,Z$3:AT$3)/5,1)))</f>
        <v/>
      </c>
    </row>
    <row r="150" ht="15.75" customHeight="1" s="25">
      <c r="A150" s="22" t="n"/>
      <c r="B150" s="20" t="n"/>
      <c r="C150" s="22" t="n"/>
      <c r="D150" s="22" t="n"/>
      <c r="E150" s="22" t="n"/>
      <c r="F150" s="22" t="n"/>
      <c r="G150" s="21" t="n"/>
      <c r="H150" s="21" t="n"/>
      <c r="I150" s="21" t="n"/>
      <c r="J150" s="21" t="n"/>
      <c r="K150" s="21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3">
        <f>IF(E150="","",IF('分位数阈值'!$D$2="","",IFS(E150&gt;='分位数阈值'!$D$2,5,E150&gt;='分位数阈值'!$E$2,4,E150&gt;='分位数阈值'!$F$2,3,E150&gt;='分位数阈值'!$G$2,2,TRUE,1)))</f>
        <v/>
      </c>
      <c r="AA150" s="23">
        <f>IF(F150="","",IF('分位数阈值'!$D$3="","",IFS(F150&gt;='分位数阈值'!$D$3,5,F150&gt;='分位数阈值'!$E$3,4,F150&gt;='分位数阈值'!$F$3,3,F150&gt;='分位数阈值'!$G$3,2,TRUE,1)))</f>
        <v/>
      </c>
      <c r="AB150" s="23">
        <f>IF(G150="","",IF('分位数阈值'!$D$4="","",IFS(G150&gt;='分位数阈值'!$D$4,5,G150&gt;='分位数阈值'!$E$4,4,G150&gt;='分位数阈值'!$F$4,3,G150&gt;='分位数阈值'!$G$4,2,TRUE,1)))</f>
        <v/>
      </c>
      <c r="AC150" s="23">
        <f>IF(H150="","",IF('分位数阈值'!$D$5="","",IFS(H150&gt;='分位数阈值'!$D$5,5,H150&gt;='分位数阈值'!$E$5,4,H150&gt;='分位数阈值'!$F$5,3,H150&gt;='分位数阈值'!$G$5,2,TRUE,1)))</f>
        <v/>
      </c>
      <c r="AD150" s="23">
        <f>IF(I150="","",IF('分位数阈值'!$D$6="","",IFS(I150&gt;='分位数阈值'!$D$6,5,I150&gt;='分位数阈值'!$E$6,4,I150&gt;='分位数阈值'!$F$6,3,I150&gt;='分位数阈值'!$G$6,2,TRUE,1)))</f>
        <v/>
      </c>
      <c r="AE150" s="23">
        <f>IF(J150="","",IF('分位数阈值'!$D$7="","",IFS(J150&gt;='分位数阈值'!$D$7,5,J150&gt;='分位数阈值'!$E$7,4,J150&gt;='分位数阈值'!$F$7,3,J150&gt;='分位数阈值'!$G$7,2,TRUE,1)))</f>
        <v/>
      </c>
      <c r="AF150" s="23">
        <f>IF(K150="","",IF('分位数阈值'!$D$8="","",IFS(K150&gt;='分位数阈值'!$D$8,5,K150&gt;='分位数阈值'!$E$8,4,K150&gt;='分位数阈值'!$F$8,3,K150&gt;='分位数阈值'!$G$8,2,TRUE,1)))</f>
        <v/>
      </c>
      <c r="AG150" s="23">
        <f>IF(L150="","",IF('分位数阈值'!$D$9="","",IFS(L150&gt;='分位数阈值'!$D$9,5,L150&gt;='分位数阈值'!$E$9,4,L150&gt;='分位数阈值'!$F$9,3,L150&gt;='分位数阈值'!$G$9,2,TRUE,1)))</f>
        <v/>
      </c>
      <c r="AH150" s="23">
        <f>IF(M150="","",IF('分位数阈值'!$D$10="","",IFS(M150&lt;='分位数阈值'!$G$10,5,M150&lt;='分位数阈值'!$F$10,4,M150&lt;='分位数阈值'!$E$10,3,M150&lt;='分位数阈值'!$D$10,2,TRUE,1)))</f>
        <v/>
      </c>
      <c r="AI150" s="23">
        <f>IF(N150="","",IF('分位数阈值'!$D$11="","",IFS(N150&lt;='分位数阈值'!$G$11,5,N150&lt;='分位数阈值'!$F$11,4,N150&lt;='分位数阈值'!$E$11,3,N150&lt;='分位数阈值'!$D$11,2,TRUE,1)))</f>
        <v/>
      </c>
      <c r="AJ150" s="23">
        <f>IF(P150="","",IF(P150=1,1,5))</f>
        <v/>
      </c>
      <c r="AK150" s="23">
        <f>IF(Q150="","",IF(Q150=1,1,5))</f>
        <v/>
      </c>
      <c r="AL150" s="23">
        <f>IF(O150="","",IF('分位数阈值'!$D$12="","",IFS(O150&gt;='分位数阈值'!$D$12,5,O150&gt;='分位数阈值'!$E$12,4,O150&gt;='分位数阈值'!$F$12,3,O150&gt;='分位数阈值'!$G$12,2,TRUE,1)))</f>
        <v/>
      </c>
      <c r="AM150" s="23">
        <f>IF(R150="","",IF('分位数阈值'!$D$13="","",IFS(R150&lt;='分位数阈值'!$G$13,5,R150&lt;='分位数阈值'!$F$13,4,R150&lt;='分位数阈值'!$E$13,3,R150&lt;='分位数阈值'!$D$13,2,TRUE,1)))</f>
        <v/>
      </c>
      <c r="AN150" s="23">
        <f>IF(S150="","",IF('分位数阈值'!$D$14="","",IFS(S150&lt;='分位数阈值'!$G$14,5,S150&lt;='分位数阈值'!$F$14,4,S150&lt;='分位数阈值'!$E$14,3,S150&lt;='分位数阈值'!$D$14,2,TRUE,1)))</f>
        <v/>
      </c>
      <c r="AO150" s="23">
        <f>IF(T150="","",IF('分位数阈值'!$D$15="","",IFS(T150&lt;='分位数阈值'!$G$15,5,T150&lt;='分位数阈值'!$F$15,4,T150&lt;='分位数阈值'!$E$15,3,T150&lt;='分位数阈值'!$D$15,2,TRUE,1)))</f>
        <v/>
      </c>
      <c r="AP150" s="23">
        <f>IF(U150="","",IF(U150=1,5,1))</f>
        <v/>
      </c>
      <c r="AQ150" s="23">
        <f>IF(V150="","",V150)</f>
        <v/>
      </c>
      <c r="AR150" s="23">
        <f>IF(W150="","",IF('分位数阈值'!$D$16="","",IFS(W150&lt;='分位数阈值'!$G$16,5,W150&lt;='分位数阈值'!$F$16,4,W150&lt;='分位数阈值'!$E$16,3,W150&lt;='分位数阈值'!$D$16,2,TRUE,1)))</f>
        <v/>
      </c>
      <c r="AS150" s="23">
        <f>IF(X150="","",X150)</f>
        <v/>
      </c>
      <c r="AT150" s="23">
        <f>IF(Y150="","",Y150)</f>
        <v/>
      </c>
      <c r="AU150" s="10">
        <f>IF($A150="","",IF(OR(Z150=1,AR150=1,AJ150=1),"淘汰","通过"))</f>
        <v/>
      </c>
      <c r="AV150" s="10">
        <f>IF($A150="","",IF(OR(AA150=1,AR150=1,AND(AK150=1,AI150=1),AO150=1),"淘汰","通过"))</f>
        <v/>
      </c>
      <c r="AW150" s="24">
        <f>IF($A150="","",IF(AU150="淘汰","",ROUND(SUMPRODUCT(Z150:AT150,Z$2:AT$2)/5,1)))</f>
        <v/>
      </c>
      <c r="AX150" s="24">
        <f>IF($A150="","",IF(AV150="淘汰","",ROUND(SUMPRODUCT(Z150:AT150,Z$3:AT$3)/5,1)))</f>
        <v/>
      </c>
    </row>
    <row r="151" ht="15.75" customHeight="1" s="25">
      <c r="A151" s="22" t="n"/>
      <c r="B151" s="20" t="n"/>
      <c r="C151" s="22" t="n"/>
      <c r="D151" s="22" t="n"/>
      <c r="E151" s="22" t="n"/>
      <c r="F151" s="22" t="n"/>
      <c r="G151" s="21" t="n"/>
      <c r="H151" s="21" t="n"/>
      <c r="I151" s="21" t="n"/>
      <c r="J151" s="21" t="n"/>
      <c r="K151" s="21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3">
        <f>IF(E151="","",IF('分位数阈值'!$D$2="","",IFS(E151&gt;='分位数阈值'!$D$2,5,E151&gt;='分位数阈值'!$E$2,4,E151&gt;='分位数阈值'!$F$2,3,E151&gt;='分位数阈值'!$G$2,2,TRUE,1)))</f>
        <v/>
      </c>
      <c r="AA151" s="23">
        <f>IF(F151="","",IF('分位数阈值'!$D$3="","",IFS(F151&gt;='分位数阈值'!$D$3,5,F151&gt;='分位数阈值'!$E$3,4,F151&gt;='分位数阈值'!$F$3,3,F151&gt;='分位数阈值'!$G$3,2,TRUE,1)))</f>
        <v/>
      </c>
      <c r="AB151" s="23">
        <f>IF(G151="","",IF('分位数阈值'!$D$4="","",IFS(G151&gt;='分位数阈值'!$D$4,5,G151&gt;='分位数阈值'!$E$4,4,G151&gt;='分位数阈值'!$F$4,3,G151&gt;='分位数阈值'!$G$4,2,TRUE,1)))</f>
        <v/>
      </c>
      <c r="AC151" s="23">
        <f>IF(H151="","",IF('分位数阈值'!$D$5="","",IFS(H151&gt;='分位数阈值'!$D$5,5,H151&gt;='分位数阈值'!$E$5,4,H151&gt;='分位数阈值'!$F$5,3,H151&gt;='分位数阈值'!$G$5,2,TRUE,1)))</f>
        <v/>
      </c>
      <c r="AD151" s="23">
        <f>IF(I151="","",IF('分位数阈值'!$D$6="","",IFS(I151&gt;='分位数阈值'!$D$6,5,I151&gt;='分位数阈值'!$E$6,4,I151&gt;='分位数阈值'!$F$6,3,I151&gt;='分位数阈值'!$G$6,2,TRUE,1)))</f>
        <v/>
      </c>
      <c r="AE151" s="23">
        <f>IF(J151="","",IF('分位数阈值'!$D$7="","",IFS(J151&gt;='分位数阈值'!$D$7,5,J151&gt;='分位数阈值'!$E$7,4,J151&gt;='分位数阈值'!$F$7,3,J151&gt;='分位数阈值'!$G$7,2,TRUE,1)))</f>
        <v/>
      </c>
      <c r="AF151" s="23">
        <f>IF(K151="","",IF('分位数阈值'!$D$8="","",IFS(K151&gt;='分位数阈值'!$D$8,5,K151&gt;='分位数阈值'!$E$8,4,K151&gt;='分位数阈值'!$F$8,3,K151&gt;='分位数阈值'!$G$8,2,TRUE,1)))</f>
        <v/>
      </c>
      <c r="AG151" s="23">
        <f>IF(L151="","",IF('分位数阈值'!$D$9="","",IFS(L151&gt;='分位数阈值'!$D$9,5,L151&gt;='分位数阈值'!$E$9,4,L151&gt;='分位数阈值'!$F$9,3,L151&gt;='分位数阈值'!$G$9,2,TRUE,1)))</f>
        <v/>
      </c>
      <c r="AH151" s="23">
        <f>IF(M151="","",IF('分位数阈值'!$D$10="","",IFS(M151&lt;='分位数阈值'!$G$10,5,M151&lt;='分位数阈值'!$F$10,4,M151&lt;='分位数阈值'!$E$10,3,M151&lt;='分位数阈值'!$D$10,2,TRUE,1)))</f>
        <v/>
      </c>
      <c r="AI151" s="23">
        <f>IF(N151="","",IF('分位数阈值'!$D$11="","",IFS(N151&lt;='分位数阈值'!$G$11,5,N151&lt;='分位数阈值'!$F$11,4,N151&lt;='分位数阈值'!$E$11,3,N151&lt;='分位数阈值'!$D$11,2,TRUE,1)))</f>
        <v/>
      </c>
      <c r="AJ151" s="23">
        <f>IF(P151="","",IF(P151=1,1,5))</f>
        <v/>
      </c>
      <c r="AK151" s="23">
        <f>IF(Q151="","",IF(Q151=1,1,5))</f>
        <v/>
      </c>
      <c r="AL151" s="23">
        <f>IF(O151="","",IF('分位数阈值'!$D$12="","",IFS(O151&gt;='分位数阈值'!$D$12,5,O151&gt;='分位数阈值'!$E$12,4,O151&gt;='分位数阈值'!$F$12,3,O151&gt;='分位数阈值'!$G$12,2,TRUE,1)))</f>
        <v/>
      </c>
      <c r="AM151" s="23">
        <f>IF(R151="","",IF('分位数阈值'!$D$13="","",IFS(R151&lt;='分位数阈值'!$G$13,5,R151&lt;='分位数阈值'!$F$13,4,R151&lt;='分位数阈值'!$E$13,3,R151&lt;='分位数阈值'!$D$13,2,TRUE,1)))</f>
        <v/>
      </c>
      <c r="AN151" s="23">
        <f>IF(S151="","",IF('分位数阈值'!$D$14="","",IFS(S151&lt;='分位数阈值'!$G$14,5,S151&lt;='分位数阈值'!$F$14,4,S151&lt;='分位数阈值'!$E$14,3,S151&lt;='分位数阈值'!$D$14,2,TRUE,1)))</f>
        <v/>
      </c>
      <c r="AO151" s="23">
        <f>IF(T151="","",IF('分位数阈值'!$D$15="","",IFS(T151&lt;='分位数阈值'!$G$15,5,T151&lt;='分位数阈值'!$F$15,4,T151&lt;='分位数阈值'!$E$15,3,T151&lt;='分位数阈值'!$D$15,2,TRUE,1)))</f>
        <v/>
      </c>
      <c r="AP151" s="23">
        <f>IF(U151="","",IF(U151=1,5,1))</f>
        <v/>
      </c>
      <c r="AQ151" s="23">
        <f>IF(V151="","",V151)</f>
        <v/>
      </c>
      <c r="AR151" s="23">
        <f>IF(W151="","",IF('分位数阈值'!$D$16="","",IFS(W151&lt;='分位数阈值'!$G$16,5,W151&lt;='分位数阈值'!$F$16,4,W151&lt;='分位数阈值'!$E$16,3,W151&lt;='分位数阈值'!$D$16,2,TRUE,1)))</f>
        <v/>
      </c>
      <c r="AS151" s="23">
        <f>IF(X151="","",X151)</f>
        <v/>
      </c>
      <c r="AT151" s="23">
        <f>IF(Y151="","",Y151)</f>
        <v/>
      </c>
      <c r="AU151" s="10">
        <f>IF($A151="","",IF(OR(Z151=1,AR151=1,AJ151=1),"淘汰","通过"))</f>
        <v/>
      </c>
      <c r="AV151" s="10">
        <f>IF($A151="","",IF(OR(AA151=1,AR151=1,AND(AK151=1,AI151=1),AO151=1),"淘汰","通过"))</f>
        <v/>
      </c>
      <c r="AW151" s="24">
        <f>IF($A151="","",IF(AU151="淘汰","",ROUND(SUMPRODUCT(Z151:AT151,Z$2:AT$2)/5,1)))</f>
        <v/>
      </c>
      <c r="AX151" s="24">
        <f>IF($A151="","",IF(AV151="淘汰","",ROUND(SUMPRODUCT(Z151:AT151,Z$3:AT$3)/5,1)))</f>
        <v/>
      </c>
    </row>
    <row r="152" ht="15.75" customHeight="1" s="25">
      <c r="A152" s="22" t="n"/>
      <c r="B152" s="20" t="n"/>
      <c r="C152" s="22" t="n"/>
      <c r="D152" s="22" t="n"/>
      <c r="E152" s="22" t="n"/>
      <c r="F152" s="22" t="n"/>
      <c r="G152" s="21" t="n"/>
      <c r="H152" s="21" t="n"/>
      <c r="I152" s="21" t="n"/>
      <c r="J152" s="21" t="n"/>
      <c r="K152" s="21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3">
        <f>IF(E152="","",IF('分位数阈值'!$D$2="","",IFS(E152&gt;='分位数阈值'!$D$2,5,E152&gt;='分位数阈值'!$E$2,4,E152&gt;='分位数阈值'!$F$2,3,E152&gt;='分位数阈值'!$G$2,2,TRUE,1)))</f>
        <v/>
      </c>
      <c r="AA152" s="23">
        <f>IF(F152="","",IF('分位数阈值'!$D$3="","",IFS(F152&gt;='分位数阈值'!$D$3,5,F152&gt;='分位数阈值'!$E$3,4,F152&gt;='分位数阈值'!$F$3,3,F152&gt;='分位数阈值'!$G$3,2,TRUE,1)))</f>
        <v/>
      </c>
      <c r="AB152" s="23">
        <f>IF(G152="","",IF('分位数阈值'!$D$4="","",IFS(G152&gt;='分位数阈值'!$D$4,5,G152&gt;='分位数阈值'!$E$4,4,G152&gt;='分位数阈值'!$F$4,3,G152&gt;='分位数阈值'!$G$4,2,TRUE,1)))</f>
        <v/>
      </c>
      <c r="AC152" s="23">
        <f>IF(H152="","",IF('分位数阈值'!$D$5="","",IFS(H152&gt;='分位数阈值'!$D$5,5,H152&gt;='分位数阈值'!$E$5,4,H152&gt;='分位数阈值'!$F$5,3,H152&gt;='分位数阈值'!$G$5,2,TRUE,1)))</f>
        <v/>
      </c>
      <c r="AD152" s="23">
        <f>IF(I152="","",IF('分位数阈值'!$D$6="","",IFS(I152&gt;='分位数阈值'!$D$6,5,I152&gt;='分位数阈值'!$E$6,4,I152&gt;='分位数阈值'!$F$6,3,I152&gt;='分位数阈值'!$G$6,2,TRUE,1)))</f>
        <v/>
      </c>
      <c r="AE152" s="23">
        <f>IF(J152="","",IF('分位数阈值'!$D$7="","",IFS(J152&gt;='分位数阈值'!$D$7,5,J152&gt;='分位数阈值'!$E$7,4,J152&gt;='分位数阈值'!$F$7,3,J152&gt;='分位数阈值'!$G$7,2,TRUE,1)))</f>
        <v/>
      </c>
      <c r="AF152" s="23">
        <f>IF(K152="","",IF('分位数阈值'!$D$8="","",IFS(K152&gt;='分位数阈值'!$D$8,5,K152&gt;='分位数阈值'!$E$8,4,K152&gt;='分位数阈值'!$F$8,3,K152&gt;='分位数阈值'!$G$8,2,TRUE,1)))</f>
        <v/>
      </c>
      <c r="AG152" s="23">
        <f>IF(L152="","",IF('分位数阈值'!$D$9="","",IFS(L152&gt;='分位数阈值'!$D$9,5,L152&gt;='分位数阈值'!$E$9,4,L152&gt;='分位数阈值'!$F$9,3,L152&gt;='分位数阈值'!$G$9,2,TRUE,1)))</f>
        <v/>
      </c>
      <c r="AH152" s="23">
        <f>IF(M152="","",IF('分位数阈值'!$D$10="","",IFS(M152&lt;='分位数阈值'!$G$10,5,M152&lt;='分位数阈值'!$F$10,4,M152&lt;='分位数阈值'!$E$10,3,M152&lt;='分位数阈值'!$D$10,2,TRUE,1)))</f>
        <v/>
      </c>
      <c r="AI152" s="23">
        <f>IF(N152="","",IF('分位数阈值'!$D$11="","",IFS(N152&lt;='分位数阈值'!$G$11,5,N152&lt;='分位数阈值'!$F$11,4,N152&lt;='分位数阈值'!$E$11,3,N152&lt;='分位数阈值'!$D$11,2,TRUE,1)))</f>
        <v/>
      </c>
      <c r="AJ152" s="23">
        <f>IF(P152="","",IF(P152=1,1,5))</f>
        <v/>
      </c>
      <c r="AK152" s="23">
        <f>IF(Q152="","",IF(Q152=1,1,5))</f>
        <v/>
      </c>
      <c r="AL152" s="23">
        <f>IF(O152="","",IF('分位数阈值'!$D$12="","",IFS(O152&gt;='分位数阈值'!$D$12,5,O152&gt;='分位数阈值'!$E$12,4,O152&gt;='分位数阈值'!$F$12,3,O152&gt;='分位数阈值'!$G$12,2,TRUE,1)))</f>
        <v/>
      </c>
      <c r="AM152" s="23">
        <f>IF(R152="","",IF('分位数阈值'!$D$13="","",IFS(R152&lt;='分位数阈值'!$G$13,5,R152&lt;='分位数阈值'!$F$13,4,R152&lt;='分位数阈值'!$E$13,3,R152&lt;='分位数阈值'!$D$13,2,TRUE,1)))</f>
        <v/>
      </c>
      <c r="AN152" s="23">
        <f>IF(S152="","",IF('分位数阈值'!$D$14="","",IFS(S152&lt;='分位数阈值'!$G$14,5,S152&lt;='分位数阈值'!$F$14,4,S152&lt;='分位数阈值'!$E$14,3,S152&lt;='分位数阈值'!$D$14,2,TRUE,1)))</f>
        <v/>
      </c>
      <c r="AO152" s="23">
        <f>IF(T152="","",IF('分位数阈值'!$D$15="","",IFS(T152&lt;='分位数阈值'!$G$15,5,T152&lt;='分位数阈值'!$F$15,4,T152&lt;='分位数阈值'!$E$15,3,T152&lt;='分位数阈值'!$D$15,2,TRUE,1)))</f>
        <v/>
      </c>
      <c r="AP152" s="23">
        <f>IF(U152="","",IF(U152=1,5,1))</f>
        <v/>
      </c>
      <c r="AQ152" s="23">
        <f>IF(V152="","",V152)</f>
        <v/>
      </c>
      <c r="AR152" s="23">
        <f>IF(W152="","",IF('分位数阈值'!$D$16="","",IFS(W152&lt;='分位数阈值'!$G$16,5,W152&lt;='分位数阈值'!$F$16,4,W152&lt;='分位数阈值'!$E$16,3,W152&lt;='分位数阈值'!$D$16,2,TRUE,1)))</f>
        <v/>
      </c>
      <c r="AS152" s="23">
        <f>IF(X152="","",X152)</f>
        <v/>
      </c>
      <c r="AT152" s="23">
        <f>IF(Y152="","",Y152)</f>
        <v/>
      </c>
      <c r="AU152" s="10">
        <f>IF($A152="","",IF(OR(Z152=1,AR152=1,AJ152=1),"淘汰","通过"))</f>
        <v/>
      </c>
      <c r="AV152" s="10">
        <f>IF($A152="","",IF(OR(AA152=1,AR152=1,AND(AK152=1,AI152=1),AO152=1),"淘汰","通过"))</f>
        <v/>
      </c>
      <c r="AW152" s="24">
        <f>IF($A152="","",IF(AU152="淘汰","",ROUND(SUMPRODUCT(Z152:AT152,Z$2:AT$2)/5,1)))</f>
        <v/>
      </c>
      <c r="AX152" s="24">
        <f>IF($A152="","",IF(AV152="淘汰","",ROUND(SUMPRODUCT(Z152:AT152,Z$3:AT$3)/5,1)))</f>
        <v/>
      </c>
    </row>
    <row r="153" ht="15.75" customHeight="1" s="25">
      <c r="A153" s="22" t="n"/>
      <c r="B153" s="20" t="n"/>
      <c r="C153" s="22" t="n"/>
      <c r="D153" s="22" t="n"/>
      <c r="E153" s="22" t="n"/>
      <c r="F153" s="22" t="n"/>
      <c r="G153" s="21" t="n"/>
      <c r="H153" s="21" t="n"/>
      <c r="I153" s="21" t="n"/>
      <c r="J153" s="21" t="n"/>
      <c r="K153" s="21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3">
        <f>IF(E153="","",IF('分位数阈值'!$D$2="","",IFS(E153&gt;='分位数阈值'!$D$2,5,E153&gt;='分位数阈值'!$E$2,4,E153&gt;='分位数阈值'!$F$2,3,E153&gt;='分位数阈值'!$G$2,2,TRUE,1)))</f>
        <v/>
      </c>
      <c r="AA153" s="23">
        <f>IF(F153="","",IF('分位数阈值'!$D$3="","",IFS(F153&gt;='分位数阈值'!$D$3,5,F153&gt;='分位数阈值'!$E$3,4,F153&gt;='分位数阈值'!$F$3,3,F153&gt;='分位数阈值'!$G$3,2,TRUE,1)))</f>
        <v/>
      </c>
      <c r="AB153" s="23">
        <f>IF(G153="","",IF('分位数阈值'!$D$4="","",IFS(G153&gt;='分位数阈值'!$D$4,5,G153&gt;='分位数阈值'!$E$4,4,G153&gt;='分位数阈值'!$F$4,3,G153&gt;='分位数阈值'!$G$4,2,TRUE,1)))</f>
        <v/>
      </c>
      <c r="AC153" s="23">
        <f>IF(H153="","",IF('分位数阈值'!$D$5="","",IFS(H153&gt;='分位数阈值'!$D$5,5,H153&gt;='分位数阈值'!$E$5,4,H153&gt;='分位数阈值'!$F$5,3,H153&gt;='分位数阈值'!$G$5,2,TRUE,1)))</f>
        <v/>
      </c>
      <c r="AD153" s="23">
        <f>IF(I153="","",IF('分位数阈值'!$D$6="","",IFS(I153&gt;='分位数阈值'!$D$6,5,I153&gt;='分位数阈值'!$E$6,4,I153&gt;='分位数阈值'!$F$6,3,I153&gt;='分位数阈值'!$G$6,2,TRUE,1)))</f>
        <v/>
      </c>
      <c r="AE153" s="23">
        <f>IF(J153="","",IF('分位数阈值'!$D$7="","",IFS(J153&gt;='分位数阈值'!$D$7,5,J153&gt;='分位数阈值'!$E$7,4,J153&gt;='分位数阈值'!$F$7,3,J153&gt;='分位数阈值'!$G$7,2,TRUE,1)))</f>
        <v/>
      </c>
      <c r="AF153" s="23">
        <f>IF(K153="","",IF('分位数阈值'!$D$8="","",IFS(K153&gt;='分位数阈值'!$D$8,5,K153&gt;='分位数阈值'!$E$8,4,K153&gt;='分位数阈值'!$F$8,3,K153&gt;='分位数阈值'!$G$8,2,TRUE,1)))</f>
        <v/>
      </c>
      <c r="AG153" s="23">
        <f>IF(L153="","",IF('分位数阈值'!$D$9="","",IFS(L153&gt;='分位数阈值'!$D$9,5,L153&gt;='分位数阈值'!$E$9,4,L153&gt;='分位数阈值'!$F$9,3,L153&gt;='分位数阈值'!$G$9,2,TRUE,1)))</f>
        <v/>
      </c>
      <c r="AH153" s="23">
        <f>IF(M153="","",IF('分位数阈值'!$D$10="","",IFS(M153&lt;='分位数阈值'!$G$10,5,M153&lt;='分位数阈值'!$F$10,4,M153&lt;='分位数阈值'!$E$10,3,M153&lt;='分位数阈值'!$D$10,2,TRUE,1)))</f>
        <v/>
      </c>
      <c r="AI153" s="23">
        <f>IF(N153="","",IF('分位数阈值'!$D$11="","",IFS(N153&lt;='分位数阈值'!$G$11,5,N153&lt;='分位数阈值'!$F$11,4,N153&lt;='分位数阈值'!$E$11,3,N153&lt;='分位数阈值'!$D$11,2,TRUE,1)))</f>
        <v/>
      </c>
      <c r="AJ153" s="23">
        <f>IF(P153="","",IF(P153=1,1,5))</f>
        <v/>
      </c>
      <c r="AK153" s="23">
        <f>IF(Q153="","",IF(Q153=1,1,5))</f>
        <v/>
      </c>
      <c r="AL153" s="23">
        <f>IF(O153="","",IF('分位数阈值'!$D$12="","",IFS(O153&gt;='分位数阈值'!$D$12,5,O153&gt;='分位数阈值'!$E$12,4,O153&gt;='分位数阈值'!$F$12,3,O153&gt;='分位数阈值'!$G$12,2,TRUE,1)))</f>
        <v/>
      </c>
      <c r="AM153" s="23">
        <f>IF(R153="","",IF('分位数阈值'!$D$13="","",IFS(R153&lt;='分位数阈值'!$G$13,5,R153&lt;='分位数阈值'!$F$13,4,R153&lt;='分位数阈值'!$E$13,3,R153&lt;='分位数阈值'!$D$13,2,TRUE,1)))</f>
        <v/>
      </c>
      <c r="AN153" s="23">
        <f>IF(S153="","",IF('分位数阈值'!$D$14="","",IFS(S153&lt;='分位数阈值'!$G$14,5,S153&lt;='分位数阈值'!$F$14,4,S153&lt;='分位数阈值'!$E$14,3,S153&lt;='分位数阈值'!$D$14,2,TRUE,1)))</f>
        <v/>
      </c>
      <c r="AO153" s="23">
        <f>IF(T153="","",IF('分位数阈值'!$D$15="","",IFS(T153&lt;='分位数阈值'!$G$15,5,T153&lt;='分位数阈值'!$F$15,4,T153&lt;='分位数阈值'!$E$15,3,T153&lt;='分位数阈值'!$D$15,2,TRUE,1)))</f>
        <v/>
      </c>
      <c r="AP153" s="23">
        <f>IF(U153="","",IF(U153=1,5,1))</f>
        <v/>
      </c>
      <c r="AQ153" s="23">
        <f>IF(V153="","",V153)</f>
        <v/>
      </c>
      <c r="AR153" s="23">
        <f>IF(W153="","",IF('分位数阈值'!$D$16="","",IFS(W153&lt;='分位数阈值'!$G$16,5,W153&lt;='分位数阈值'!$F$16,4,W153&lt;='分位数阈值'!$E$16,3,W153&lt;='分位数阈值'!$D$16,2,TRUE,1)))</f>
        <v/>
      </c>
      <c r="AS153" s="23">
        <f>IF(X153="","",X153)</f>
        <v/>
      </c>
      <c r="AT153" s="23">
        <f>IF(Y153="","",Y153)</f>
        <v/>
      </c>
      <c r="AU153" s="10">
        <f>IF($A153="","",IF(OR(Z153=1,AR153=1,AJ153=1),"淘汰","通过"))</f>
        <v/>
      </c>
      <c r="AV153" s="10">
        <f>IF($A153="","",IF(OR(AA153=1,AR153=1,AND(AK153=1,AI153=1),AO153=1),"淘汰","通过"))</f>
        <v/>
      </c>
      <c r="AW153" s="24">
        <f>IF($A153="","",IF(AU153="淘汰","",ROUND(SUMPRODUCT(Z153:AT153,Z$2:AT$2)/5,1)))</f>
        <v/>
      </c>
      <c r="AX153" s="24">
        <f>IF($A153="","",IF(AV153="淘汰","",ROUND(SUMPRODUCT(Z153:AT153,Z$3:AT$3)/5,1)))</f>
        <v/>
      </c>
    </row>
    <row r="154" ht="15.75" customHeight="1" s="25">
      <c r="A154" s="22" t="n"/>
      <c r="B154" s="20" t="n"/>
      <c r="C154" s="22" t="n"/>
      <c r="D154" s="22" t="n"/>
      <c r="E154" s="22" t="n"/>
      <c r="F154" s="22" t="n"/>
      <c r="G154" s="21" t="n"/>
      <c r="H154" s="21" t="n"/>
      <c r="I154" s="21" t="n"/>
      <c r="J154" s="21" t="n"/>
      <c r="K154" s="21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3">
        <f>IF(E154="","",IF('分位数阈值'!$D$2="","",IFS(E154&gt;='分位数阈值'!$D$2,5,E154&gt;='分位数阈值'!$E$2,4,E154&gt;='分位数阈值'!$F$2,3,E154&gt;='分位数阈值'!$G$2,2,TRUE,1)))</f>
        <v/>
      </c>
      <c r="AA154" s="23">
        <f>IF(F154="","",IF('分位数阈值'!$D$3="","",IFS(F154&gt;='分位数阈值'!$D$3,5,F154&gt;='分位数阈值'!$E$3,4,F154&gt;='分位数阈值'!$F$3,3,F154&gt;='分位数阈值'!$G$3,2,TRUE,1)))</f>
        <v/>
      </c>
      <c r="AB154" s="23">
        <f>IF(G154="","",IF('分位数阈值'!$D$4="","",IFS(G154&gt;='分位数阈值'!$D$4,5,G154&gt;='分位数阈值'!$E$4,4,G154&gt;='分位数阈值'!$F$4,3,G154&gt;='分位数阈值'!$G$4,2,TRUE,1)))</f>
        <v/>
      </c>
      <c r="AC154" s="23">
        <f>IF(H154="","",IF('分位数阈值'!$D$5="","",IFS(H154&gt;='分位数阈值'!$D$5,5,H154&gt;='分位数阈值'!$E$5,4,H154&gt;='分位数阈值'!$F$5,3,H154&gt;='分位数阈值'!$G$5,2,TRUE,1)))</f>
        <v/>
      </c>
      <c r="AD154" s="23">
        <f>IF(I154="","",IF('分位数阈值'!$D$6="","",IFS(I154&gt;='分位数阈值'!$D$6,5,I154&gt;='分位数阈值'!$E$6,4,I154&gt;='分位数阈值'!$F$6,3,I154&gt;='分位数阈值'!$G$6,2,TRUE,1)))</f>
        <v/>
      </c>
      <c r="AE154" s="23">
        <f>IF(J154="","",IF('分位数阈值'!$D$7="","",IFS(J154&gt;='分位数阈值'!$D$7,5,J154&gt;='分位数阈值'!$E$7,4,J154&gt;='分位数阈值'!$F$7,3,J154&gt;='分位数阈值'!$G$7,2,TRUE,1)))</f>
        <v/>
      </c>
      <c r="AF154" s="23">
        <f>IF(K154="","",IF('分位数阈值'!$D$8="","",IFS(K154&gt;='分位数阈值'!$D$8,5,K154&gt;='分位数阈值'!$E$8,4,K154&gt;='分位数阈值'!$F$8,3,K154&gt;='分位数阈值'!$G$8,2,TRUE,1)))</f>
        <v/>
      </c>
      <c r="AG154" s="23">
        <f>IF(L154="","",IF('分位数阈值'!$D$9="","",IFS(L154&gt;='分位数阈值'!$D$9,5,L154&gt;='分位数阈值'!$E$9,4,L154&gt;='分位数阈值'!$F$9,3,L154&gt;='分位数阈值'!$G$9,2,TRUE,1)))</f>
        <v/>
      </c>
      <c r="AH154" s="23">
        <f>IF(M154="","",IF('分位数阈值'!$D$10="","",IFS(M154&lt;='分位数阈值'!$G$10,5,M154&lt;='分位数阈值'!$F$10,4,M154&lt;='分位数阈值'!$E$10,3,M154&lt;='分位数阈值'!$D$10,2,TRUE,1)))</f>
        <v/>
      </c>
      <c r="AI154" s="23">
        <f>IF(N154="","",IF('分位数阈值'!$D$11="","",IFS(N154&lt;='分位数阈值'!$G$11,5,N154&lt;='分位数阈值'!$F$11,4,N154&lt;='分位数阈值'!$E$11,3,N154&lt;='分位数阈值'!$D$11,2,TRUE,1)))</f>
        <v/>
      </c>
      <c r="AJ154" s="23">
        <f>IF(P154="","",IF(P154=1,1,5))</f>
        <v/>
      </c>
      <c r="AK154" s="23">
        <f>IF(Q154="","",IF(Q154=1,1,5))</f>
        <v/>
      </c>
      <c r="AL154" s="23">
        <f>IF(O154="","",IF('分位数阈值'!$D$12="","",IFS(O154&gt;='分位数阈值'!$D$12,5,O154&gt;='分位数阈值'!$E$12,4,O154&gt;='分位数阈值'!$F$12,3,O154&gt;='分位数阈值'!$G$12,2,TRUE,1)))</f>
        <v/>
      </c>
      <c r="AM154" s="23">
        <f>IF(R154="","",IF('分位数阈值'!$D$13="","",IFS(R154&lt;='分位数阈值'!$G$13,5,R154&lt;='分位数阈值'!$F$13,4,R154&lt;='分位数阈值'!$E$13,3,R154&lt;='分位数阈值'!$D$13,2,TRUE,1)))</f>
        <v/>
      </c>
      <c r="AN154" s="23">
        <f>IF(S154="","",IF('分位数阈值'!$D$14="","",IFS(S154&lt;='分位数阈值'!$G$14,5,S154&lt;='分位数阈值'!$F$14,4,S154&lt;='分位数阈值'!$E$14,3,S154&lt;='分位数阈值'!$D$14,2,TRUE,1)))</f>
        <v/>
      </c>
      <c r="AO154" s="23">
        <f>IF(T154="","",IF('分位数阈值'!$D$15="","",IFS(T154&lt;='分位数阈值'!$G$15,5,T154&lt;='分位数阈值'!$F$15,4,T154&lt;='分位数阈值'!$E$15,3,T154&lt;='分位数阈值'!$D$15,2,TRUE,1)))</f>
        <v/>
      </c>
      <c r="AP154" s="23">
        <f>IF(U154="","",IF(U154=1,5,1))</f>
        <v/>
      </c>
      <c r="AQ154" s="23">
        <f>IF(V154="","",V154)</f>
        <v/>
      </c>
      <c r="AR154" s="23">
        <f>IF(W154="","",IF('分位数阈值'!$D$16="","",IFS(W154&lt;='分位数阈值'!$G$16,5,W154&lt;='分位数阈值'!$F$16,4,W154&lt;='分位数阈值'!$E$16,3,W154&lt;='分位数阈值'!$D$16,2,TRUE,1)))</f>
        <v/>
      </c>
      <c r="AS154" s="23">
        <f>IF(X154="","",X154)</f>
        <v/>
      </c>
      <c r="AT154" s="23">
        <f>IF(Y154="","",Y154)</f>
        <v/>
      </c>
      <c r="AU154" s="10">
        <f>IF($A154="","",IF(OR(Z154=1,AR154=1,AJ154=1),"淘汰","通过"))</f>
        <v/>
      </c>
      <c r="AV154" s="10">
        <f>IF($A154="","",IF(OR(AA154=1,AR154=1,AND(AK154=1,AI154=1),AO154=1),"淘汰","通过"))</f>
        <v/>
      </c>
      <c r="AW154" s="24">
        <f>IF($A154="","",IF(AU154="淘汰","",ROUND(SUMPRODUCT(Z154:AT154,Z$2:AT$2)/5,1)))</f>
        <v/>
      </c>
      <c r="AX154" s="24">
        <f>IF($A154="","",IF(AV154="淘汰","",ROUND(SUMPRODUCT(Z154:AT154,Z$3:AT$3)/5,1)))</f>
        <v/>
      </c>
    </row>
    <row r="155" ht="15.75" customHeight="1" s="25">
      <c r="A155" s="22" t="n"/>
      <c r="B155" s="20" t="n"/>
      <c r="C155" s="22" t="n"/>
      <c r="D155" s="22" t="n"/>
      <c r="E155" s="22" t="n"/>
      <c r="F155" s="22" t="n"/>
      <c r="G155" s="21" t="n"/>
      <c r="H155" s="21" t="n"/>
      <c r="I155" s="21" t="n"/>
      <c r="J155" s="21" t="n"/>
      <c r="K155" s="21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3">
        <f>IF(E155="","",IF('分位数阈值'!$D$2="","",IFS(E155&gt;='分位数阈值'!$D$2,5,E155&gt;='分位数阈值'!$E$2,4,E155&gt;='分位数阈值'!$F$2,3,E155&gt;='分位数阈值'!$G$2,2,TRUE,1)))</f>
        <v/>
      </c>
      <c r="AA155" s="23">
        <f>IF(F155="","",IF('分位数阈值'!$D$3="","",IFS(F155&gt;='分位数阈值'!$D$3,5,F155&gt;='分位数阈值'!$E$3,4,F155&gt;='分位数阈值'!$F$3,3,F155&gt;='分位数阈值'!$G$3,2,TRUE,1)))</f>
        <v/>
      </c>
      <c r="AB155" s="23">
        <f>IF(G155="","",IF('分位数阈值'!$D$4="","",IFS(G155&gt;='分位数阈值'!$D$4,5,G155&gt;='分位数阈值'!$E$4,4,G155&gt;='分位数阈值'!$F$4,3,G155&gt;='分位数阈值'!$G$4,2,TRUE,1)))</f>
        <v/>
      </c>
      <c r="AC155" s="23">
        <f>IF(H155="","",IF('分位数阈值'!$D$5="","",IFS(H155&gt;='分位数阈值'!$D$5,5,H155&gt;='分位数阈值'!$E$5,4,H155&gt;='分位数阈值'!$F$5,3,H155&gt;='分位数阈值'!$G$5,2,TRUE,1)))</f>
        <v/>
      </c>
      <c r="AD155" s="23">
        <f>IF(I155="","",IF('分位数阈值'!$D$6="","",IFS(I155&gt;='分位数阈值'!$D$6,5,I155&gt;='分位数阈值'!$E$6,4,I155&gt;='分位数阈值'!$F$6,3,I155&gt;='分位数阈值'!$G$6,2,TRUE,1)))</f>
        <v/>
      </c>
      <c r="AE155" s="23">
        <f>IF(J155="","",IF('分位数阈值'!$D$7="","",IFS(J155&gt;='分位数阈值'!$D$7,5,J155&gt;='分位数阈值'!$E$7,4,J155&gt;='分位数阈值'!$F$7,3,J155&gt;='分位数阈值'!$G$7,2,TRUE,1)))</f>
        <v/>
      </c>
      <c r="AF155" s="23">
        <f>IF(K155="","",IF('分位数阈值'!$D$8="","",IFS(K155&gt;='分位数阈值'!$D$8,5,K155&gt;='分位数阈值'!$E$8,4,K155&gt;='分位数阈值'!$F$8,3,K155&gt;='分位数阈值'!$G$8,2,TRUE,1)))</f>
        <v/>
      </c>
      <c r="AG155" s="23">
        <f>IF(L155="","",IF('分位数阈值'!$D$9="","",IFS(L155&gt;='分位数阈值'!$D$9,5,L155&gt;='分位数阈值'!$E$9,4,L155&gt;='分位数阈值'!$F$9,3,L155&gt;='分位数阈值'!$G$9,2,TRUE,1)))</f>
        <v/>
      </c>
      <c r="AH155" s="23">
        <f>IF(M155="","",IF('分位数阈值'!$D$10="","",IFS(M155&lt;='分位数阈值'!$G$10,5,M155&lt;='分位数阈值'!$F$10,4,M155&lt;='分位数阈值'!$E$10,3,M155&lt;='分位数阈值'!$D$10,2,TRUE,1)))</f>
        <v/>
      </c>
      <c r="AI155" s="23">
        <f>IF(N155="","",IF('分位数阈值'!$D$11="","",IFS(N155&lt;='分位数阈值'!$G$11,5,N155&lt;='分位数阈值'!$F$11,4,N155&lt;='分位数阈值'!$E$11,3,N155&lt;='分位数阈值'!$D$11,2,TRUE,1)))</f>
        <v/>
      </c>
      <c r="AJ155" s="23">
        <f>IF(P155="","",IF(P155=1,1,5))</f>
        <v/>
      </c>
      <c r="AK155" s="23">
        <f>IF(Q155="","",IF(Q155=1,1,5))</f>
        <v/>
      </c>
      <c r="AL155" s="23">
        <f>IF(O155="","",IF('分位数阈值'!$D$12="","",IFS(O155&gt;='分位数阈值'!$D$12,5,O155&gt;='分位数阈值'!$E$12,4,O155&gt;='分位数阈值'!$F$12,3,O155&gt;='分位数阈值'!$G$12,2,TRUE,1)))</f>
        <v/>
      </c>
      <c r="AM155" s="23">
        <f>IF(R155="","",IF('分位数阈值'!$D$13="","",IFS(R155&lt;='分位数阈值'!$G$13,5,R155&lt;='分位数阈值'!$F$13,4,R155&lt;='分位数阈值'!$E$13,3,R155&lt;='分位数阈值'!$D$13,2,TRUE,1)))</f>
        <v/>
      </c>
      <c r="AN155" s="23">
        <f>IF(S155="","",IF('分位数阈值'!$D$14="","",IFS(S155&lt;='分位数阈值'!$G$14,5,S155&lt;='分位数阈值'!$F$14,4,S155&lt;='分位数阈值'!$E$14,3,S155&lt;='分位数阈值'!$D$14,2,TRUE,1)))</f>
        <v/>
      </c>
      <c r="AO155" s="23">
        <f>IF(T155="","",IF('分位数阈值'!$D$15="","",IFS(T155&lt;='分位数阈值'!$G$15,5,T155&lt;='分位数阈值'!$F$15,4,T155&lt;='分位数阈值'!$E$15,3,T155&lt;='分位数阈值'!$D$15,2,TRUE,1)))</f>
        <v/>
      </c>
      <c r="AP155" s="23">
        <f>IF(U155="","",IF(U155=1,5,1))</f>
        <v/>
      </c>
      <c r="AQ155" s="23">
        <f>IF(V155="","",V155)</f>
        <v/>
      </c>
      <c r="AR155" s="23">
        <f>IF(W155="","",IF('分位数阈值'!$D$16="","",IFS(W155&lt;='分位数阈值'!$G$16,5,W155&lt;='分位数阈值'!$F$16,4,W155&lt;='分位数阈值'!$E$16,3,W155&lt;='分位数阈值'!$D$16,2,TRUE,1)))</f>
        <v/>
      </c>
      <c r="AS155" s="23">
        <f>IF(X155="","",X155)</f>
        <v/>
      </c>
      <c r="AT155" s="23">
        <f>IF(Y155="","",Y155)</f>
        <v/>
      </c>
      <c r="AU155" s="10">
        <f>IF($A155="","",IF(OR(Z155=1,AR155=1,AJ155=1),"淘汰","通过"))</f>
        <v/>
      </c>
      <c r="AV155" s="10">
        <f>IF($A155="","",IF(OR(AA155=1,AR155=1,AND(AK155=1,AI155=1),AO155=1),"淘汰","通过"))</f>
        <v/>
      </c>
      <c r="AW155" s="24">
        <f>IF($A155="","",IF(AU155="淘汰","",ROUND(SUMPRODUCT(Z155:AT155,Z$2:AT$2)/5,1)))</f>
        <v/>
      </c>
      <c r="AX155" s="24">
        <f>IF($A155="","",IF(AV155="淘汰","",ROUND(SUMPRODUCT(Z155:AT155,Z$3:AT$3)/5,1)))</f>
        <v/>
      </c>
    </row>
    <row r="156" ht="15.75" customHeight="1" s="25">
      <c r="A156" s="22" t="n"/>
      <c r="B156" s="20" t="n"/>
      <c r="C156" s="22" t="n"/>
      <c r="D156" s="22" t="n"/>
      <c r="E156" s="22" t="n"/>
      <c r="F156" s="22" t="n"/>
      <c r="G156" s="21" t="n"/>
      <c r="H156" s="21" t="n"/>
      <c r="I156" s="21" t="n"/>
      <c r="J156" s="21" t="n"/>
      <c r="K156" s="21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3">
        <f>IF(E156="","",IF('分位数阈值'!$D$2="","",IFS(E156&gt;='分位数阈值'!$D$2,5,E156&gt;='分位数阈值'!$E$2,4,E156&gt;='分位数阈值'!$F$2,3,E156&gt;='分位数阈值'!$G$2,2,TRUE,1)))</f>
        <v/>
      </c>
      <c r="AA156" s="23">
        <f>IF(F156="","",IF('分位数阈值'!$D$3="","",IFS(F156&gt;='分位数阈值'!$D$3,5,F156&gt;='分位数阈值'!$E$3,4,F156&gt;='分位数阈值'!$F$3,3,F156&gt;='分位数阈值'!$G$3,2,TRUE,1)))</f>
        <v/>
      </c>
      <c r="AB156" s="23">
        <f>IF(G156="","",IF('分位数阈值'!$D$4="","",IFS(G156&gt;='分位数阈值'!$D$4,5,G156&gt;='分位数阈值'!$E$4,4,G156&gt;='分位数阈值'!$F$4,3,G156&gt;='分位数阈值'!$G$4,2,TRUE,1)))</f>
        <v/>
      </c>
      <c r="AC156" s="23">
        <f>IF(H156="","",IF('分位数阈值'!$D$5="","",IFS(H156&gt;='分位数阈值'!$D$5,5,H156&gt;='分位数阈值'!$E$5,4,H156&gt;='分位数阈值'!$F$5,3,H156&gt;='分位数阈值'!$G$5,2,TRUE,1)))</f>
        <v/>
      </c>
      <c r="AD156" s="23">
        <f>IF(I156="","",IF('分位数阈值'!$D$6="","",IFS(I156&gt;='分位数阈值'!$D$6,5,I156&gt;='分位数阈值'!$E$6,4,I156&gt;='分位数阈值'!$F$6,3,I156&gt;='分位数阈值'!$G$6,2,TRUE,1)))</f>
        <v/>
      </c>
      <c r="AE156" s="23">
        <f>IF(J156="","",IF('分位数阈值'!$D$7="","",IFS(J156&gt;='分位数阈值'!$D$7,5,J156&gt;='分位数阈值'!$E$7,4,J156&gt;='分位数阈值'!$F$7,3,J156&gt;='分位数阈值'!$G$7,2,TRUE,1)))</f>
        <v/>
      </c>
      <c r="AF156" s="23">
        <f>IF(K156="","",IF('分位数阈值'!$D$8="","",IFS(K156&gt;='分位数阈值'!$D$8,5,K156&gt;='分位数阈值'!$E$8,4,K156&gt;='分位数阈值'!$F$8,3,K156&gt;='分位数阈值'!$G$8,2,TRUE,1)))</f>
        <v/>
      </c>
      <c r="AG156" s="23">
        <f>IF(L156="","",IF('分位数阈值'!$D$9="","",IFS(L156&gt;='分位数阈值'!$D$9,5,L156&gt;='分位数阈值'!$E$9,4,L156&gt;='分位数阈值'!$F$9,3,L156&gt;='分位数阈值'!$G$9,2,TRUE,1)))</f>
        <v/>
      </c>
      <c r="AH156" s="23">
        <f>IF(M156="","",IF('分位数阈值'!$D$10="","",IFS(M156&lt;='分位数阈值'!$G$10,5,M156&lt;='分位数阈值'!$F$10,4,M156&lt;='分位数阈值'!$E$10,3,M156&lt;='分位数阈值'!$D$10,2,TRUE,1)))</f>
        <v/>
      </c>
      <c r="AI156" s="23">
        <f>IF(N156="","",IF('分位数阈值'!$D$11="","",IFS(N156&lt;='分位数阈值'!$G$11,5,N156&lt;='分位数阈值'!$F$11,4,N156&lt;='分位数阈值'!$E$11,3,N156&lt;='分位数阈值'!$D$11,2,TRUE,1)))</f>
        <v/>
      </c>
      <c r="AJ156" s="23">
        <f>IF(P156="","",IF(P156=1,1,5))</f>
        <v/>
      </c>
      <c r="AK156" s="23">
        <f>IF(Q156="","",IF(Q156=1,1,5))</f>
        <v/>
      </c>
      <c r="AL156" s="23">
        <f>IF(O156="","",IF('分位数阈值'!$D$12="","",IFS(O156&gt;='分位数阈值'!$D$12,5,O156&gt;='分位数阈值'!$E$12,4,O156&gt;='分位数阈值'!$F$12,3,O156&gt;='分位数阈值'!$G$12,2,TRUE,1)))</f>
        <v/>
      </c>
      <c r="AM156" s="23">
        <f>IF(R156="","",IF('分位数阈值'!$D$13="","",IFS(R156&lt;='分位数阈值'!$G$13,5,R156&lt;='分位数阈值'!$F$13,4,R156&lt;='分位数阈值'!$E$13,3,R156&lt;='分位数阈值'!$D$13,2,TRUE,1)))</f>
        <v/>
      </c>
      <c r="AN156" s="23">
        <f>IF(S156="","",IF('分位数阈值'!$D$14="","",IFS(S156&lt;='分位数阈值'!$G$14,5,S156&lt;='分位数阈值'!$F$14,4,S156&lt;='分位数阈值'!$E$14,3,S156&lt;='分位数阈值'!$D$14,2,TRUE,1)))</f>
        <v/>
      </c>
      <c r="AO156" s="23">
        <f>IF(T156="","",IF('分位数阈值'!$D$15="","",IFS(T156&lt;='分位数阈值'!$G$15,5,T156&lt;='分位数阈值'!$F$15,4,T156&lt;='分位数阈值'!$E$15,3,T156&lt;='分位数阈值'!$D$15,2,TRUE,1)))</f>
        <v/>
      </c>
      <c r="AP156" s="23">
        <f>IF(U156="","",IF(U156=1,5,1))</f>
        <v/>
      </c>
      <c r="AQ156" s="23">
        <f>IF(V156="","",V156)</f>
        <v/>
      </c>
      <c r="AR156" s="23">
        <f>IF(W156="","",IF('分位数阈值'!$D$16="","",IFS(W156&lt;='分位数阈值'!$G$16,5,W156&lt;='分位数阈值'!$F$16,4,W156&lt;='分位数阈值'!$E$16,3,W156&lt;='分位数阈值'!$D$16,2,TRUE,1)))</f>
        <v/>
      </c>
      <c r="AS156" s="23">
        <f>IF(X156="","",X156)</f>
        <v/>
      </c>
      <c r="AT156" s="23">
        <f>IF(Y156="","",Y156)</f>
        <v/>
      </c>
      <c r="AU156" s="10">
        <f>IF($A156="","",IF(OR(Z156=1,AR156=1,AJ156=1),"淘汰","通过"))</f>
        <v/>
      </c>
      <c r="AV156" s="10">
        <f>IF($A156="","",IF(OR(AA156=1,AR156=1,AND(AK156=1,AI156=1),AO156=1),"淘汰","通过"))</f>
        <v/>
      </c>
      <c r="AW156" s="24">
        <f>IF($A156="","",IF(AU156="淘汰","",ROUND(SUMPRODUCT(Z156:AT156,Z$2:AT$2)/5,1)))</f>
        <v/>
      </c>
      <c r="AX156" s="24">
        <f>IF($A156="","",IF(AV156="淘汰","",ROUND(SUMPRODUCT(Z156:AT156,Z$3:AT$3)/5,1)))</f>
        <v/>
      </c>
    </row>
    <row r="157" ht="15.75" customHeight="1" s="25">
      <c r="A157" s="22" t="n"/>
      <c r="B157" s="20" t="n"/>
      <c r="C157" s="22" t="n"/>
      <c r="D157" s="22" t="n"/>
      <c r="E157" s="22" t="n"/>
      <c r="F157" s="22" t="n"/>
      <c r="G157" s="21" t="n"/>
      <c r="H157" s="21" t="n"/>
      <c r="I157" s="21" t="n"/>
      <c r="J157" s="21" t="n"/>
      <c r="K157" s="21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3">
        <f>IF(E157="","",IF('分位数阈值'!$D$2="","",IFS(E157&gt;='分位数阈值'!$D$2,5,E157&gt;='分位数阈值'!$E$2,4,E157&gt;='分位数阈值'!$F$2,3,E157&gt;='分位数阈值'!$G$2,2,TRUE,1)))</f>
        <v/>
      </c>
      <c r="AA157" s="23">
        <f>IF(F157="","",IF('分位数阈值'!$D$3="","",IFS(F157&gt;='分位数阈值'!$D$3,5,F157&gt;='分位数阈值'!$E$3,4,F157&gt;='分位数阈值'!$F$3,3,F157&gt;='分位数阈值'!$G$3,2,TRUE,1)))</f>
        <v/>
      </c>
      <c r="AB157" s="23">
        <f>IF(G157="","",IF('分位数阈值'!$D$4="","",IFS(G157&gt;='分位数阈值'!$D$4,5,G157&gt;='分位数阈值'!$E$4,4,G157&gt;='分位数阈值'!$F$4,3,G157&gt;='分位数阈值'!$G$4,2,TRUE,1)))</f>
        <v/>
      </c>
      <c r="AC157" s="23">
        <f>IF(H157="","",IF('分位数阈值'!$D$5="","",IFS(H157&gt;='分位数阈值'!$D$5,5,H157&gt;='分位数阈值'!$E$5,4,H157&gt;='分位数阈值'!$F$5,3,H157&gt;='分位数阈值'!$G$5,2,TRUE,1)))</f>
        <v/>
      </c>
      <c r="AD157" s="23">
        <f>IF(I157="","",IF('分位数阈值'!$D$6="","",IFS(I157&gt;='分位数阈值'!$D$6,5,I157&gt;='分位数阈值'!$E$6,4,I157&gt;='分位数阈值'!$F$6,3,I157&gt;='分位数阈值'!$G$6,2,TRUE,1)))</f>
        <v/>
      </c>
      <c r="AE157" s="23">
        <f>IF(J157="","",IF('分位数阈值'!$D$7="","",IFS(J157&gt;='分位数阈值'!$D$7,5,J157&gt;='分位数阈值'!$E$7,4,J157&gt;='分位数阈值'!$F$7,3,J157&gt;='分位数阈值'!$G$7,2,TRUE,1)))</f>
        <v/>
      </c>
      <c r="AF157" s="23">
        <f>IF(K157="","",IF('分位数阈值'!$D$8="","",IFS(K157&gt;='分位数阈值'!$D$8,5,K157&gt;='分位数阈值'!$E$8,4,K157&gt;='分位数阈值'!$F$8,3,K157&gt;='分位数阈值'!$G$8,2,TRUE,1)))</f>
        <v/>
      </c>
      <c r="AG157" s="23">
        <f>IF(L157="","",IF('分位数阈值'!$D$9="","",IFS(L157&gt;='分位数阈值'!$D$9,5,L157&gt;='分位数阈值'!$E$9,4,L157&gt;='分位数阈值'!$F$9,3,L157&gt;='分位数阈值'!$G$9,2,TRUE,1)))</f>
        <v/>
      </c>
      <c r="AH157" s="23">
        <f>IF(M157="","",IF('分位数阈值'!$D$10="","",IFS(M157&lt;='分位数阈值'!$G$10,5,M157&lt;='分位数阈值'!$F$10,4,M157&lt;='分位数阈值'!$E$10,3,M157&lt;='分位数阈值'!$D$10,2,TRUE,1)))</f>
        <v/>
      </c>
      <c r="AI157" s="23">
        <f>IF(N157="","",IF('分位数阈值'!$D$11="","",IFS(N157&lt;='分位数阈值'!$G$11,5,N157&lt;='分位数阈值'!$F$11,4,N157&lt;='分位数阈值'!$E$11,3,N157&lt;='分位数阈值'!$D$11,2,TRUE,1)))</f>
        <v/>
      </c>
      <c r="AJ157" s="23">
        <f>IF(P157="","",IF(P157=1,1,5))</f>
        <v/>
      </c>
      <c r="AK157" s="23">
        <f>IF(Q157="","",IF(Q157=1,1,5))</f>
        <v/>
      </c>
      <c r="AL157" s="23">
        <f>IF(O157="","",IF('分位数阈值'!$D$12="","",IFS(O157&gt;='分位数阈值'!$D$12,5,O157&gt;='分位数阈值'!$E$12,4,O157&gt;='分位数阈值'!$F$12,3,O157&gt;='分位数阈值'!$G$12,2,TRUE,1)))</f>
        <v/>
      </c>
      <c r="AM157" s="23">
        <f>IF(R157="","",IF('分位数阈值'!$D$13="","",IFS(R157&lt;='分位数阈值'!$G$13,5,R157&lt;='分位数阈值'!$F$13,4,R157&lt;='分位数阈值'!$E$13,3,R157&lt;='分位数阈值'!$D$13,2,TRUE,1)))</f>
        <v/>
      </c>
      <c r="AN157" s="23">
        <f>IF(S157="","",IF('分位数阈值'!$D$14="","",IFS(S157&lt;='分位数阈值'!$G$14,5,S157&lt;='分位数阈值'!$F$14,4,S157&lt;='分位数阈值'!$E$14,3,S157&lt;='分位数阈值'!$D$14,2,TRUE,1)))</f>
        <v/>
      </c>
      <c r="AO157" s="23">
        <f>IF(T157="","",IF('分位数阈值'!$D$15="","",IFS(T157&lt;='分位数阈值'!$G$15,5,T157&lt;='分位数阈值'!$F$15,4,T157&lt;='分位数阈值'!$E$15,3,T157&lt;='分位数阈值'!$D$15,2,TRUE,1)))</f>
        <v/>
      </c>
      <c r="AP157" s="23">
        <f>IF(U157="","",IF(U157=1,5,1))</f>
        <v/>
      </c>
      <c r="AQ157" s="23">
        <f>IF(V157="","",V157)</f>
        <v/>
      </c>
      <c r="AR157" s="23">
        <f>IF(W157="","",IF('分位数阈值'!$D$16="","",IFS(W157&lt;='分位数阈值'!$G$16,5,W157&lt;='分位数阈值'!$F$16,4,W157&lt;='分位数阈值'!$E$16,3,W157&lt;='分位数阈值'!$D$16,2,TRUE,1)))</f>
        <v/>
      </c>
      <c r="AS157" s="23">
        <f>IF(X157="","",X157)</f>
        <v/>
      </c>
      <c r="AT157" s="23">
        <f>IF(Y157="","",Y157)</f>
        <v/>
      </c>
      <c r="AU157" s="10">
        <f>IF($A157="","",IF(OR(Z157=1,AR157=1,AJ157=1),"淘汰","通过"))</f>
        <v/>
      </c>
      <c r="AV157" s="10">
        <f>IF($A157="","",IF(OR(AA157=1,AR157=1,AND(AK157=1,AI157=1),AO157=1),"淘汰","通过"))</f>
        <v/>
      </c>
      <c r="AW157" s="24">
        <f>IF($A157="","",IF(AU157="淘汰","",ROUND(SUMPRODUCT(Z157:AT157,Z$2:AT$2)/5,1)))</f>
        <v/>
      </c>
      <c r="AX157" s="24">
        <f>IF($A157="","",IF(AV157="淘汰","",ROUND(SUMPRODUCT(Z157:AT157,Z$3:AT$3)/5,1)))</f>
        <v/>
      </c>
    </row>
    <row r="158" ht="15.75" customHeight="1" s="25">
      <c r="A158" s="22" t="n"/>
      <c r="B158" s="20" t="n"/>
      <c r="C158" s="22" t="n"/>
      <c r="D158" s="22" t="n"/>
      <c r="E158" s="22" t="n"/>
      <c r="F158" s="22" t="n"/>
      <c r="G158" s="21" t="n"/>
      <c r="H158" s="21" t="n"/>
      <c r="I158" s="21" t="n"/>
      <c r="J158" s="21" t="n"/>
      <c r="K158" s="21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3">
        <f>IF(E158="","",IF('分位数阈值'!$D$2="","",IFS(E158&gt;='分位数阈值'!$D$2,5,E158&gt;='分位数阈值'!$E$2,4,E158&gt;='分位数阈值'!$F$2,3,E158&gt;='分位数阈值'!$G$2,2,TRUE,1)))</f>
        <v/>
      </c>
      <c r="AA158" s="23">
        <f>IF(F158="","",IF('分位数阈值'!$D$3="","",IFS(F158&gt;='分位数阈值'!$D$3,5,F158&gt;='分位数阈值'!$E$3,4,F158&gt;='分位数阈值'!$F$3,3,F158&gt;='分位数阈值'!$G$3,2,TRUE,1)))</f>
        <v/>
      </c>
      <c r="AB158" s="23">
        <f>IF(G158="","",IF('分位数阈值'!$D$4="","",IFS(G158&gt;='分位数阈值'!$D$4,5,G158&gt;='分位数阈值'!$E$4,4,G158&gt;='分位数阈值'!$F$4,3,G158&gt;='分位数阈值'!$G$4,2,TRUE,1)))</f>
        <v/>
      </c>
      <c r="AC158" s="23">
        <f>IF(H158="","",IF('分位数阈值'!$D$5="","",IFS(H158&gt;='分位数阈值'!$D$5,5,H158&gt;='分位数阈值'!$E$5,4,H158&gt;='分位数阈值'!$F$5,3,H158&gt;='分位数阈值'!$G$5,2,TRUE,1)))</f>
        <v/>
      </c>
      <c r="AD158" s="23">
        <f>IF(I158="","",IF('分位数阈值'!$D$6="","",IFS(I158&gt;='分位数阈值'!$D$6,5,I158&gt;='分位数阈值'!$E$6,4,I158&gt;='分位数阈值'!$F$6,3,I158&gt;='分位数阈值'!$G$6,2,TRUE,1)))</f>
        <v/>
      </c>
      <c r="AE158" s="23">
        <f>IF(J158="","",IF('分位数阈值'!$D$7="","",IFS(J158&gt;='分位数阈值'!$D$7,5,J158&gt;='分位数阈值'!$E$7,4,J158&gt;='分位数阈值'!$F$7,3,J158&gt;='分位数阈值'!$G$7,2,TRUE,1)))</f>
        <v/>
      </c>
      <c r="AF158" s="23">
        <f>IF(K158="","",IF('分位数阈值'!$D$8="","",IFS(K158&gt;='分位数阈值'!$D$8,5,K158&gt;='分位数阈值'!$E$8,4,K158&gt;='分位数阈值'!$F$8,3,K158&gt;='分位数阈值'!$G$8,2,TRUE,1)))</f>
        <v/>
      </c>
      <c r="AG158" s="23">
        <f>IF(L158="","",IF('分位数阈值'!$D$9="","",IFS(L158&gt;='分位数阈值'!$D$9,5,L158&gt;='分位数阈值'!$E$9,4,L158&gt;='分位数阈值'!$F$9,3,L158&gt;='分位数阈值'!$G$9,2,TRUE,1)))</f>
        <v/>
      </c>
      <c r="AH158" s="23">
        <f>IF(M158="","",IF('分位数阈值'!$D$10="","",IFS(M158&lt;='分位数阈值'!$G$10,5,M158&lt;='分位数阈值'!$F$10,4,M158&lt;='分位数阈值'!$E$10,3,M158&lt;='分位数阈值'!$D$10,2,TRUE,1)))</f>
        <v/>
      </c>
      <c r="AI158" s="23">
        <f>IF(N158="","",IF('分位数阈值'!$D$11="","",IFS(N158&lt;='分位数阈值'!$G$11,5,N158&lt;='分位数阈值'!$F$11,4,N158&lt;='分位数阈值'!$E$11,3,N158&lt;='分位数阈值'!$D$11,2,TRUE,1)))</f>
        <v/>
      </c>
      <c r="AJ158" s="23">
        <f>IF(P158="","",IF(P158=1,1,5))</f>
        <v/>
      </c>
      <c r="AK158" s="23">
        <f>IF(Q158="","",IF(Q158=1,1,5))</f>
        <v/>
      </c>
      <c r="AL158" s="23">
        <f>IF(O158="","",IF('分位数阈值'!$D$12="","",IFS(O158&gt;='分位数阈值'!$D$12,5,O158&gt;='分位数阈值'!$E$12,4,O158&gt;='分位数阈值'!$F$12,3,O158&gt;='分位数阈值'!$G$12,2,TRUE,1)))</f>
        <v/>
      </c>
      <c r="AM158" s="23">
        <f>IF(R158="","",IF('分位数阈值'!$D$13="","",IFS(R158&lt;='分位数阈值'!$G$13,5,R158&lt;='分位数阈值'!$F$13,4,R158&lt;='分位数阈值'!$E$13,3,R158&lt;='分位数阈值'!$D$13,2,TRUE,1)))</f>
        <v/>
      </c>
      <c r="AN158" s="23">
        <f>IF(S158="","",IF('分位数阈值'!$D$14="","",IFS(S158&lt;='分位数阈值'!$G$14,5,S158&lt;='分位数阈值'!$F$14,4,S158&lt;='分位数阈值'!$E$14,3,S158&lt;='分位数阈值'!$D$14,2,TRUE,1)))</f>
        <v/>
      </c>
      <c r="AO158" s="23">
        <f>IF(T158="","",IF('分位数阈值'!$D$15="","",IFS(T158&lt;='分位数阈值'!$G$15,5,T158&lt;='分位数阈值'!$F$15,4,T158&lt;='分位数阈值'!$E$15,3,T158&lt;='分位数阈值'!$D$15,2,TRUE,1)))</f>
        <v/>
      </c>
      <c r="AP158" s="23">
        <f>IF(U158="","",IF(U158=1,5,1))</f>
        <v/>
      </c>
      <c r="AQ158" s="23">
        <f>IF(V158="","",V158)</f>
        <v/>
      </c>
      <c r="AR158" s="23">
        <f>IF(W158="","",IF('分位数阈值'!$D$16="","",IFS(W158&lt;='分位数阈值'!$G$16,5,W158&lt;='分位数阈值'!$F$16,4,W158&lt;='分位数阈值'!$E$16,3,W158&lt;='分位数阈值'!$D$16,2,TRUE,1)))</f>
        <v/>
      </c>
      <c r="AS158" s="23">
        <f>IF(X158="","",X158)</f>
        <v/>
      </c>
      <c r="AT158" s="23">
        <f>IF(Y158="","",Y158)</f>
        <v/>
      </c>
      <c r="AU158" s="10">
        <f>IF($A158="","",IF(OR(Z158=1,AR158=1,AJ158=1),"淘汰","通过"))</f>
        <v/>
      </c>
      <c r="AV158" s="10">
        <f>IF($A158="","",IF(OR(AA158=1,AR158=1,AND(AK158=1,AI158=1),AO158=1),"淘汰","通过"))</f>
        <v/>
      </c>
      <c r="AW158" s="24">
        <f>IF($A158="","",IF(AU158="淘汰","",ROUND(SUMPRODUCT(Z158:AT158,Z$2:AT$2)/5,1)))</f>
        <v/>
      </c>
      <c r="AX158" s="24">
        <f>IF($A158="","",IF(AV158="淘汰","",ROUND(SUMPRODUCT(Z158:AT158,Z$3:AT$3)/5,1)))</f>
        <v/>
      </c>
    </row>
    <row r="159" ht="15.75" customHeight="1" s="25">
      <c r="A159" s="22" t="n"/>
      <c r="B159" s="20" t="n"/>
      <c r="C159" s="22" t="n"/>
      <c r="D159" s="22" t="n"/>
      <c r="E159" s="22" t="n"/>
      <c r="F159" s="22" t="n"/>
      <c r="G159" s="21" t="n"/>
      <c r="H159" s="21" t="n"/>
      <c r="I159" s="21" t="n"/>
      <c r="J159" s="21" t="n"/>
      <c r="K159" s="21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3">
        <f>IF(E159="","",IF('分位数阈值'!$D$2="","",IFS(E159&gt;='分位数阈值'!$D$2,5,E159&gt;='分位数阈值'!$E$2,4,E159&gt;='分位数阈值'!$F$2,3,E159&gt;='分位数阈值'!$G$2,2,TRUE,1)))</f>
        <v/>
      </c>
      <c r="AA159" s="23">
        <f>IF(F159="","",IF('分位数阈值'!$D$3="","",IFS(F159&gt;='分位数阈值'!$D$3,5,F159&gt;='分位数阈值'!$E$3,4,F159&gt;='分位数阈值'!$F$3,3,F159&gt;='分位数阈值'!$G$3,2,TRUE,1)))</f>
        <v/>
      </c>
      <c r="AB159" s="23">
        <f>IF(G159="","",IF('分位数阈值'!$D$4="","",IFS(G159&gt;='分位数阈值'!$D$4,5,G159&gt;='分位数阈值'!$E$4,4,G159&gt;='分位数阈值'!$F$4,3,G159&gt;='分位数阈值'!$G$4,2,TRUE,1)))</f>
        <v/>
      </c>
      <c r="AC159" s="23">
        <f>IF(H159="","",IF('分位数阈值'!$D$5="","",IFS(H159&gt;='分位数阈值'!$D$5,5,H159&gt;='分位数阈值'!$E$5,4,H159&gt;='分位数阈值'!$F$5,3,H159&gt;='分位数阈值'!$G$5,2,TRUE,1)))</f>
        <v/>
      </c>
      <c r="AD159" s="23">
        <f>IF(I159="","",IF('分位数阈值'!$D$6="","",IFS(I159&gt;='分位数阈值'!$D$6,5,I159&gt;='分位数阈值'!$E$6,4,I159&gt;='分位数阈值'!$F$6,3,I159&gt;='分位数阈值'!$G$6,2,TRUE,1)))</f>
        <v/>
      </c>
      <c r="AE159" s="23">
        <f>IF(J159="","",IF('分位数阈值'!$D$7="","",IFS(J159&gt;='分位数阈值'!$D$7,5,J159&gt;='分位数阈值'!$E$7,4,J159&gt;='分位数阈值'!$F$7,3,J159&gt;='分位数阈值'!$G$7,2,TRUE,1)))</f>
        <v/>
      </c>
      <c r="AF159" s="23">
        <f>IF(K159="","",IF('分位数阈值'!$D$8="","",IFS(K159&gt;='分位数阈值'!$D$8,5,K159&gt;='分位数阈值'!$E$8,4,K159&gt;='分位数阈值'!$F$8,3,K159&gt;='分位数阈值'!$G$8,2,TRUE,1)))</f>
        <v/>
      </c>
      <c r="AG159" s="23">
        <f>IF(L159="","",IF('分位数阈值'!$D$9="","",IFS(L159&gt;='分位数阈值'!$D$9,5,L159&gt;='分位数阈值'!$E$9,4,L159&gt;='分位数阈值'!$F$9,3,L159&gt;='分位数阈值'!$G$9,2,TRUE,1)))</f>
        <v/>
      </c>
      <c r="AH159" s="23">
        <f>IF(M159="","",IF('分位数阈值'!$D$10="","",IFS(M159&lt;='分位数阈值'!$G$10,5,M159&lt;='分位数阈值'!$F$10,4,M159&lt;='分位数阈值'!$E$10,3,M159&lt;='分位数阈值'!$D$10,2,TRUE,1)))</f>
        <v/>
      </c>
      <c r="AI159" s="23">
        <f>IF(N159="","",IF('分位数阈值'!$D$11="","",IFS(N159&lt;='分位数阈值'!$G$11,5,N159&lt;='分位数阈值'!$F$11,4,N159&lt;='分位数阈值'!$E$11,3,N159&lt;='分位数阈值'!$D$11,2,TRUE,1)))</f>
        <v/>
      </c>
      <c r="AJ159" s="23">
        <f>IF(P159="","",IF(P159=1,1,5))</f>
        <v/>
      </c>
      <c r="AK159" s="23">
        <f>IF(Q159="","",IF(Q159=1,1,5))</f>
        <v/>
      </c>
      <c r="AL159" s="23">
        <f>IF(O159="","",IF('分位数阈值'!$D$12="","",IFS(O159&gt;='分位数阈值'!$D$12,5,O159&gt;='分位数阈值'!$E$12,4,O159&gt;='分位数阈值'!$F$12,3,O159&gt;='分位数阈值'!$G$12,2,TRUE,1)))</f>
        <v/>
      </c>
      <c r="AM159" s="23">
        <f>IF(R159="","",IF('分位数阈值'!$D$13="","",IFS(R159&lt;='分位数阈值'!$G$13,5,R159&lt;='分位数阈值'!$F$13,4,R159&lt;='分位数阈值'!$E$13,3,R159&lt;='分位数阈值'!$D$13,2,TRUE,1)))</f>
        <v/>
      </c>
      <c r="AN159" s="23">
        <f>IF(S159="","",IF('分位数阈值'!$D$14="","",IFS(S159&lt;='分位数阈值'!$G$14,5,S159&lt;='分位数阈值'!$F$14,4,S159&lt;='分位数阈值'!$E$14,3,S159&lt;='分位数阈值'!$D$14,2,TRUE,1)))</f>
        <v/>
      </c>
      <c r="AO159" s="23">
        <f>IF(T159="","",IF('分位数阈值'!$D$15="","",IFS(T159&lt;='分位数阈值'!$G$15,5,T159&lt;='分位数阈值'!$F$15,4,T159&lt;='分位数阈值'!$E$15,3,T159&lt;='分位数阈值'!$D$15,2,TRUE,1)))</f>
        <v/>
      </c>
      <c r="AP159" s="23">
        <f>IF(U159="","",IF(U159=1,5,1))</f>
        <v/>
      </c>
      <c r="AQ159" s="23">
        <f>IF(V159="","",V159)</f>
        <v/>
      </c>
      <c r="AR159" s="23">
        <f>IF(W159="","",IF('分位数阈值'!$D$16="","",IFS(W159&lt;='分位数阈值'!$G$16,5,W159&lt;='分位数阈值'!$F$16,4,W159&lt;='分位数阈值'!$E$16,3,W159&lt;='分位数阈值'!$D$16,2,TRUE,1)))</f>
        <v/>
      </c>
      <c r="AS159" s="23">
        <f>IF(X159="","",X159)</f>
        <v/>
      </c>
      <c r="AT159" s="23">
        <f>IF(Y159="","",Y159)</f>
        <v/>
      </c>
      <c r="AU159" s="10">
        <f>IF($A159="","",IF(OR(Z159=1,AR159=1,AJ159=1),"淘汰","通过"))</f>
        <v/>
      </c>
      <c r="AV159" s="10">
        <f>IF($A159="","",IF(OR(AA159=1,AR159=1,AND(AK159=1,AI159=1),AO159=1),"淘汰","通过"))</f>
        <v/>
      </c>
      <c r="AW159" s="24">
        <f>IF($A159="","",IF(AU159="淘汰","",ROUND(SUMPRODUCT(Z159:AT159,Z$2:AT$2)/5,1)))</f>
        <v/>
      </c>
      <c r="AX159" s="24">
        <f>IF($A159="","",IF(AV159="淘汰","",ROUND(SUMPRODUCT(Z159:AT159,Z$3:AT$3)/5,1)))</f>
        <v/>
      </c>
    </row>
    <row r="160" ht="15.75" customHeight="1" s="25">
      <c r="A160" s="22" t="n"/>
      <c r="B160" s="20" t="n"/>
      <c r="C160" s="22" t="n"/>
      <c r="D160" s="22" t="n"/>
      <c r="E160" s="22" t="n"/>
      <c r="F160" s="22" t="n"/>
      <c r="G160" s="21" t="n"/>
      <c r="H160" s="21" t="n"/>
      <c r="I160" s="21" t="n"/>
      <c r="J160" s="21" t="n"/>
      <c r="K160" s="21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3">
        <f>IF(E160="","",IF('分位数阈值'!$D$2="","",IFS(E160&gt;='分位数阈值'!$D$2,5,E160&gt;='分位数阈值'!$E$2,4,E160&gt;='分位数阈值'!$F$2,3,E160&gt;='分位数阈值'!$G$2,2,TRUE,1)))</f>
        <v/>
      </c>
      <c r="AA160" s="23">
        <f>IF(F160="","",IF('分位数阈值'!$D$3="","",IFS(F160&gt;='分位数阈值'!$D$3,5,F160&gt;='分位数阈值'!$E$3,4,F160&gt;='分位数阈值'!$F$3,3,F160&gt;='分位数阈值'!$G$3,2,TRUE,1)))</f>
        <v/>
      </c>
      <c r="AB160" s="23">
        <f>IF(G160="","",IF('分位数阈值'!$D$4="","",IFS(G160&gt;='分位数阈值'!$D$4,5,G160&gt;='分位数阈值'!$E$4,4,G160&gt;='分位数阈值'!$F$4,3,G160&gt;='分位数阈值'!$G$4,2,TRUE,1)))</f>
        <v/>
      </c>
      <c r="AC160" s="23">
        <f>IF(H160="","",IF('分位数阈值'!$D$5="","",IFS(H160&gt;='分位数阈值'!$D$5,5,H160&gt;='分位数阈值'!$E$5,4,H160&gt;='分位数阈值'!$F$5,3,H160&gt;='分位数阈值'!$G$5,2,TRUE,1)))</f>
        <v/>
      </c>
      <c r="AD160" s="23">
        <f>IF(I160="","",IF('分位数阈值'!$D$6="","",IFS(I160&gt;='分位数阈值'!$D$6,5,I160&gt;='分位数阈值'!$E$6,4,I160&gt;='分位数阈值'!$F$6,3,I160&gt;='分位数阈值'!$G$6,2,TRUE,1)))</f>
        <v/>
      </c>
      <c r="AE160" s="23">
        <f>IF(J160="","",IF('分位数阈值'!$D$7="","",IFS(J160&gt;='分位数阈值'!$D$7,5,J160&gt;='分位数阈值'!$E$7,4,J160&gt;='分位数阈值'!$F$7,3,J160&gt;='分位数阈值'!$G$7,2,TRUE,1)))</f>
        <v/>
      </c>
      <c r="AF160" s="23">
        <f>IF(K160="","",IF('分位数阈值'!$D$8="","",IFS(K160&gt;='分位数阈值'!$D$8,5,K160&gt;='分位数阈值'!$E$8,4,K160&gt;='分位数阈值'!$F$8,3,K160&gt;='分位数阈值'!$G$8,2,TRUE,1)))</f>
        <v/>
      </c>
      <c r="AG160" s="23">
        <f>IF(L160="","",IF('分位数阈值'!$D$9="","",IFS(L160&gt;='分位数阈值'!$D$9,5,L160&gt;='分位数阈值'!$E$9,4,L160&gt;='分位数阈值'!$F$9,3,L160&gt;='分位数阈值'!$G$9,2,TRUE,1)))</f>
        <v/>
      </c>
      <c r="AH160" s="23">
        <f>IF(M160="","",IF('分位数阈值'!$D$10="","",IFS(M160&lt;='分位数阈值'!$G$10,5,M160&lt;='分位数阈值'!$F$10,4,M160&lt;='分位数阈值'!$E$10,3,M160&lt;='分位数阈值'!$D$10,2,TRUE,1)))</f>
        <v/>
      </c>
      <c r="AI160" s="23">
        <f>IF(N160="","",IF('分位数阈值'!$D$11="","",IFS(N160&lt;='分位数阈值'!$G$11,5,N160&lt;='分位数阈值'!$F$11,4,N160&lt;='分位数阈值'!$E$11,3,N160&lt;='分位数阈值'!$D$11,2,TRUE,1)))</f>
        <v/>
      </c>
      <c r="AJ160" s="23">
        <f>IF(P160="","",IF(P160=1,1,5))</f>
        <v/>
      </c>
      <c r="AK160" s="23">
        <f>IF(Q160="","",IF(Q160=1,1,5))</f>
        <v/>
      </c>
      <c r="AL160" s="23">
        <f>IF(O160="","",IF('分位数阈值'!$D$12="","",IFS(O160&gt;='分位数阈值'!$D$12,5,O160&gt;='分位数阈值'!$E$12,4,O160&gt;='分位数阈值'!$F$12,3,O160&gt;='分位数阈值'!$G$12,2,TRUE,1)))</f>
        <v/>
      </c>
      <c r="AM160" s="23">
        <f>IF(R160="","",IF('分位数阈值'!$D$13="","",IFS(R160&lt;='分位数阈值'!$G$13,5,R160&lt;='分位数阈值'!$F$13,4,R160&lt;='分位数阈值'!$E$13,3,R160&lt;='分位数阈值'!$D$13,2,TRUE,1)))</f>
        <v/>
      </c>
      <c r="AN160" s="23">
        <f>IF(S160="","",IF('分位数阈值'!$D$14="","",IFS(S160&lt;='分位数阈值'!$G$14,5,S160&lt;='分位数阈值'!$F$14,4,S160&lt;='分位数阈值'!$E$14,3,S160&lt;='分位数阈值'!$D$14,2,TRUE,1)))</f>
        <v/>
      </c>
      <c r="AO160" s="23">
        <f>IF(T160="","",IF('分位数阈值'!$D$15="","",IFS(T160&lt;='分位数阈值'!$G$15,5,T160&lt;='分位数阈值'!$F$15,4,T160&lt;='分位数阈值'!$E$15,3,T160&lt;='分位数阈值'!$D$15,2,TRUE,1)))</f>
        <v/>
      </c>
      <c r="AP160" s="23">
        <f>IF(U160="","",IF(U160=1,5,1))</f>
        <v/>
      </c>
      <c r="AQ160" s="23">
        <f>IF(V160="","",V160)</f>
        <v/>
      </c>
      <c r="AR160" s="23">
        <f>IF(W160="","",IF('分位数阈值'!$D$16="","",IFS(W160&lt;='分位数阈值'!$G$16,5,W160&lt;='分位数阈值'!$F$16,4,W160&lt;='分位数阈值'!$E$16,3,W160&lt;='分位数阈值'!$D$16,2,TRUE,1)))</f>
        <v/>
      </c>
      <c r="AS160" s="23">
        <f>IF(X160="","",X160)</f>
        <v/>
      </c>
      <c r="AT160" s="23">
        <f>IF(Y160="","",Y160)</f>
        <v/>
      </c>
      <c r="AU160" s="10">
        <f>IF($A160="","",IF(OR(Z160=1,AR160=1,AJ160=1),"淘汰","通过"))</f>
        <v/>
      </c>
      <c r="AV160" s="10">
        <f>IF($A160="","",IF(OR(AA160=1,AR160=1,AND(AK160=1,AI160=1),AO160=1),"淘汰","通过"))</f>
        <v/>
      </c>
      <c r="AW160" s="24">
        <f>IF($A160="","",IF(AU160="淘汰","",ROUND(SUMPRODUCT(Z160:AT160,Z$2:AT$2)/5,1)))</f>
        <v/>
      </c>
      <c r="AX160" s="24">
        <f>IF($A160="","",IF(AV160="淘汰","",ROUND(SUMPRODUCT(Z160:AT160,Z$3:AT$3)/5,1)))</f>
        <v/>
      </c>
    </row>
    <row r="161" ht="15.75" customHeight="1" s="25">
      <c r="A161" s="22" t="n"/>
      <c r="B161" s="20" t="n"/>
      <c r="C161" s="22" t="n"/>
      <c r="D161" s="22" t="n"/>
      <c r="E161" s="22" t="n"/>
      <c r="F161" s="22" t="n"/>
      <c r="G161" s="21" t="n"/>
      <c r="H161" s="21" t="n"/>
      <c r="I161" s="21" t="n"/>
      <c r="J161" s="21" t="n"/>
      <c r="K161" s="21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3">
        <f>IF(E161="","",IF('分位数阈值'!$D$2="","",IFS(E161&gt;='分位数阈值'!$D$2,5,E161&gt;='分位数阈值'!$E$2,4,E161&gt;='分位数阈值'!$F$2,3,E161&gt;='分位数阈值'!$G$2,2,TRUE,1)))</f>
        <v/>
      </c>
      <c r="AA161" s="23">
        <f>IF(F161="","",IF('分位数阈值'!$D$3="","",IFS(F161&gt;='分位数阈值'!$D$3,5,F161&gt;='分位数阈值'!$E$3,4,F161&gt;='分位数阈值'!$F$3,3,F161&gt;='分位数阈值'!$G$3,2,TRUE,1)))</f>
        <v/>
      </c>
      <c r="AB161" s="23">
        <f>IF(G161="","",IF('分位数阈值'!$D$4="","",IFS(G161&gt;='分位数阈值'!$D$4,5,G161&gt;='分位数阈值'!$E$4,4,G161&gt;='分位数阈值'!$F$4,3,G161&gt;='分位数阈值'!$G$4,2,TRUE,1)))</f>
        <v/>
      </c>
      <c r="AC161" s="23">
        <f>IF(H161="","",IF('分位数阈值'!$D$5="","",IFS(H161&gt;='分位数阈值'!$D$5,5,H161&gt;='分位数阈值'!$E$5,4,H161&gt;='分位数阈值'!$F$5,3,H161&gt;='分位数阈值'!$G$5,2,TRUE,1)))</f>
        <v/>
      </c>
      <c r="AD161" s="23">
        <f>IF(I161="","",IF('分位数阈值'!$D$6="","",IFS(I161&gt;='分位数阈值'!$D$6,5,I161&gt;='分位数阈值'!$E$6,4,I161&gt;='分位数阈值'!$F$6,3,I161&gt;='分位数阈值'!$G$6,2,TRUE,1)))</f>
        <v/>
      </c>
      <c r="AE161" s="23">
        <f>IF(J161="","",IF('分位数阈值'!$D$7="","",IFS(J161&gt;='分位数阈值'!$D$7,5,J161&gt;='分位数阈值'!$E$7,4,J161&gt;='分位数阈值'!$F$7,3,J161&gt;='分位数阈值'!$G$7,2,TRUE,1)))</f>
        <v/>
      </c>
      <c r="AF161" s="23">
        <f>IF(K161="","",IF('分位数阈值'!$D$8="","",IFS(K161&gt;='分位数阈值'!$D$8,5,K161&gt;='分位数阈值'!$E$8,4,K161&gt;='分位数阈值'!$F$8,3,K161&gt;='分位数阈值'!$G$8,2,TRUE,1)))</f>
        <v/>
      </c>
      <c r="AG161" s="23">
        <f>IF(L161="","",IF('分位数阈值'!$D$9="","",IFS(L161&gt;='分位数阈值'!$D$9,5,L161&gt;='分位数阈值'!$E$9,4,L161&gt;='分位数阈值'!$F$9,3,L161&gt;='分位数阈值'!$G$9,2,TRUE,1)))</f>
        <v/>
      </c>
      <c r="AH161" s="23">
        <f>IF(M161="","",IF('分位数阈值'!$D$10="","",IFS(M161&lt;='分位数阈值'!$G$10,5,M161&lt;='分位数阈值'!$F$10,4,M161&lt;='分位数阈值'!$E$10,3,M161&lt;='分位数阈值'!$D$10,2,TRUE,1)))</f>
        <v/>
      </c>
      <c r="AI161" s="23">
        <f>IF(N161="","",IF('分位数阈值'!$D$11="","",IFS(N161&lt;='分位数阈值'!$G$11,5,N161&lt;='分位数阈值'!$F$11,4,N161&lt;='分位数阈值'!$E$11,3,N161&lt;='分位数阈值'!$D$11,2,TRUE,1)))</f>
        <v/>
      </c>
      <c r="AJ161" s="23">
        <f>IF(P161="","",IF(P161=1,1,5))</f>
        <v/>
      </c>
      <c r="AK161" s="23">
        <f>IF(Q161="","",IF(Q161=1,1,5))</f>
        <v/>
      </c>
      <c r="AL161" s="23">
        <f>IF(O161="","",IF('分位数阈值'!$D$12="","",IFS(O161&gt;='分位数阈值'!$D$12,5,O161&gt;='分位数阈值'!$E$12,4,O161&gt;='分位数阈值'!$F$12,3,O161&gt;='分位数阈值'!$G$12,2,TRUE,1)))</f>
        <v/>
      </c>
      <c r="AM161" s="23">
        <f>IF(R161="","",IF('分位数阈值'!$D$13="","",IFS(R161&lt;='分位数阈值'!$G$13,5,R161&lt;='分位数阈值'!$F$13,4,R161&lt;='分位数阈值'!$E$13,3,R161&lt;='分位数阈值'!$D$13,2,TRUE,1)))</f>
        <v/>
      </c>
      <c r="AN161" s="23">
        <f>IF(S161="","",IF('分位数阈值'!$D$14="","",IFS(S161&lt;='分位数阈值'!$G$14,5,S161&lt;='分位数阈值'!$F$14,4,S161&lt;='分位数阈值'!$E$14,3,S161&lt;='分位数阈值'!$D$14,2,TRUE,1)))</f>
        <v/>
      </c>
      <c r="AO161" s="23">
        <f>IF(T161="","",IF('分位数阈值'!$D$15="","",IFS(T161&lt;='分位数阈值'!$G$15,5,T161&lt;='分位数阈值'!$F$15,4,T161&lt;='分位数阈值'!$E$15,3,T161&lt;='分位数阈值'!$D$15,2,TRUE,1)))</f>
        <v/>
      </c>
      <c r="AP161" s="23">
        <f>IF(U161="","",IF(U161=1,5,1))</f>
        <v/>
      </c>
      <c r="AQ161" s="23">
        <f>IF(V161="","",V161)</f>
        <v/>
      </c>
      <c r="AR161" s="23">
        <f>IF(W161="","",IF('分位数阈值'!$D$16="","",IFS(W161&lt;='分位数阈值'!$G$16,5,W161&lt;='分位数阈值'!$F$16,4,W161&lt;='分位数阈值'!$E$16,3,W161&lt;='分位数阈值'!$D$16,2,TRUE,1)))</f>
        <v/>
      </c>
      <c r="AS161" s="23">
        <f>IF(X161="","",X161)</f>
        <v/>
      </c>
      <c r="AT161" s="23">
        <f>IF(Y161="","",Y161)</f>
        <v/>
      </c>
      <c r="AU161" s="10">
        <f>IF($A161="","",IF(OR(Z161=1,AR161=1,AJ161=1),"淘汰","通过"))</f>
        <v/>
      </c>
      <c r="AV161" s="10">
        <f>IF($A161="","",IF(OR(AA161=1,AR161=1,AND(AK161=1,AI161=1),AO161=1),"淘汰","通过"))</f>
        <v/>
      </c>
      <c r="AW161" s="24">
        <f>IF($A161="","",IF(AU161="淘汰","",ROUND(SUMPRODUCT(Z161:AT161,Z$2:AT$2)/5,1)))</f>
        <v/>
      </c>
      <c r="AX161" s="24">
        <f>IF($A161="","",IF(AV161="淘汰","",ROUND(SUMPRODUCT(Z161:AT161,Z$3:AT$3)/5,1)))</f>
        <v/>
      </c>
    </row>
    <row r="162" ht="15.75" customHeight="1" s="25">
      <c r="A162" s="22" t="n"/>
      <c r="B162" s="20" t="n"/>
      <c r="C162" s="22" t="n"/>
      <c r="D162" s="22" t="n"/>
      <c r="E162" s="22" t="n"/>
      <c r="F162" s="22" t="n"/>
      <c r="G162" s="21" t="n"/>
      <c r="H162" s="21" t="n"/>
      <c r="I162" s="21" t="n"/>
      <c r="J162" s="21" t="n"/>
      <c r="K162" s="21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3">
        <f>IF(E162="","",IF('分位数阈值'!$D$2="","",IFS(E162&gt;='分位数阈值'!$D$2,5,E162&gt;='分位数阈值'!$E$2,4,E162&gt;='分位数阈值'!$F$2,3,E162&gt;='分位数阈值'!$G$2,2,TRUE,1)))</f>
        <v/>
      </c>
      <c r="AA162" s="23">
        <f>IF(F162="","",IF('分位数阈值'!$D$3="","",IFS(F162&gt;='分位数阈值'!$D$3,5,F162&gt;='分位数阈值'!$E$3,4,F162&gt;='分位数阈值'!$F$3,3,F162&gt;='分位数阈值'!$G$3,2,TRUE,1)))</f>
        <v/>
      </c>
      <c r="AB162" s="23">
        <f>IF(G162="","",IF('分位数阈值'!$D$4="","",IFS(G162&gt;='分位数阈值'!$D$4,5,G162&gt;='分位数阈值'!$E$4,4,G162&gt;='分位数阈值'!$F$4,3,G162&gt;='分位数阈值'!$G$4,2,TRUE,1)))</f>
        <v/>
      </c>
      <c r="AC162" s="23">
        <f>IF(H162="","",IF('分位数阈值'!$D$5="","",IFS(H162&gt;='分位数阈值'!$D$5,5,H162&gt;='分位数阈值'!$E$5,4,H162&gt;='分位数阈值'!$F$5,3,H162&gt;='分位数阈值'!$G$5,2,TRUE,1)))</f>
        <v/>
      </c>
      <c r="AD162" s="23">
        <f>IF(I162="","",IF('分位数阈值'!$D$6="","",IFS(I162&gt;='分位数阈值'!$D$6,5,I162&gt;='分位数阈值'!$E$6,4,I162&gt;='分位数阈值'!$F$6,3,I162&gt;='分位数阈值'!$G$6,2,TRUE,1)))</f>
        <v/>
      </c>
      <c r="AE162" s="23">
        <f>IF(J162="","",IF('分位数阈值'!$D$7="","",IFS(J162&gt;='分位数阈值'!$D$7,5,J162&gt;='分位数阈值'!$E$7,4,J162&gt;='分位数阈值'!$F$7,3,J162&gt;='分位数阈值'!$G$7,2,TRUE,1)))</f>
        <v/>
      </c>
      <c r="AF162" s="23">
        <f>IF(K162="","",IF('分位数阈值'!$D$8="","",IFS(K162&gt;='分位数阈值'!$D$8,5,K162&gt;='分位数阈值'!$E$8,4,K162&gt;='分位数阈值'!$F$8,3,K162&gt;='分位数阈值'!$G$8,2,TRUE,1)))</f>
        <v/>
      </c>
      <c r="AG162" s="23">
        <f>IF(L162="","",IF('分位数阈值'!$D$9="","",IFS(L162&gt;='分位数阈值'!$D$9,5,L162&gt;='分位数阈值'!$E$9,4,L162&gt;='分位数阈值'!$F$9,3,L162&gt;='分位数阈值'!$G$9,2,TRUE,1)))</f>
        <v/>
      </c>
      <c r="AH162" s="23">
        <f>IF(M162="","",IF('分位数阈值'!$D$10="","",IFS(M162&lt;='分位数阈值'!$G$10,5,M162&lt;='分位数阈值'!$F$10,4,M162&lt;='分位数阈值'!$E$10,3,M162&lt;='分位数阈值'!$D$10,2,TRUE,1)))</f>
        <v/>
      </c>
      <c r="AI162" s="23">
        <f>IF(N162="","",IF('分位数阈值'!$D$11="","",IFS(N162&lt;='分位数阈值'!$G$11,5,N162&lt;='分位数阈值'!$F$11,4,N162&lt;='分位数阈值'!$E$11,3,N162&lt;='分位数阈值'!$D$11,2,TRUE,1)))</f>
        <v/>
      </c>
      <c r="AJ162" s="23">
        <f>IF(P162="","",IF(P162=1,1,5))</f>
        <v/>
      </c>
      <c r="AK162" s="23">
        <f>IF(Q162="","",IF(Q162=1,1,5))</f>
        <v/>
      </c>
      <c r="AL162" s="23">
        <f>IF(O162="","",IF('分位数阈值'!$D$12="","",IFS(O162&gt;='分位数阈值'!$D$12,5,O162&gt;='分位数阈值'!$E$12,4,O162&gt;='分位数阈值'!$F$12,3,O162&gt;='分位数阈值'!$G$12,2,TRUE,1)))</f>
        <v/>
      </c>
      <c r="AM162" s="23">
        <f>IF(R162="","",IF('分位数阈值'!$D$13="","",IFS(R162&lt;='分位数阈值'!$G$13,5,R162&lt;='分位数阈值'!$F$13,4,R162&lt;='分位数阈值'!$E$13,3,R162&lt;='分位数阈值'!$D$13,2,TRUE,1)))</f>
        <v/>
      </c>
      <c r="AN162" s="23">
        <f>IF(S162="","",IF('分位数阈值'!$D$14="","",IFS(S162&lt;='分位数阈值'!$G$14,5,S162&lt;='分位数阈值'!$F$14,4,S162&lt;='分位数阈值'!$E$14,3,S162&lt;='分位数阈值'!$D$14,2,TRUE,1)))</f>
        <v/>
      </c>
      <c r="AO162" s="23">
        <f>IF(T162="","",IF('分位数阈值'!$D$15="","",IFS(T162&lt;='分位数阈值'!$G$15,5,T162&lt;='分位数阈值'!$F$15,4,T162&lt;='分位数阈值'!$E$15,3,T162&lt;='分位数阈值'!$D$15,2,TRUE,1)))</f>
        <v/>
      </c>
      <c r="AP162" s="23">
        <f>IF(U162="","",IF(U162=1,5,1))</f>
        <v/>
      </c>
      <c r="AQ162" s="23">
        <f>IF(V162="","",V162)</f>
        <v/>
      </c>
      <c r="AR162" s="23">
        <f>IF(W162="","",IF('分位数阈值'!$D$16="","",IFS(W162&lt;='分位数阈值'!$G$16,5,W162&lt;='分位数阈值'!$F$16,4,W162&lt;='分位数阈值'!$E$16,3,W162&lt;='分位数阈值'!$D$16,2,TRUE,1)))</f>
        <v/>
      </c>
      <c r="AS162" s="23">
        <f>IF(X162="","",X162)</f>
        <v/>
      </c>
      <c r="AT162" s="23">
        <f>IF(Y162="","",Y162)</f>
        <v/>
      </c>
      <c r="AU162" s="10">
        <f>IF($A162="","",IF(OR(Z162=1,AR162=1,AJ162=1),"淘汰","通过"))</f>
        <v/>
      </c>
      <c r="AV162" s="10">
        <f>IF($A162="","",IF(OR(AA162=1,AR162=1,AND(AK162=1,AI162=1),AO162=1),"淘汰","通过"))</f>
        <v/>
      </c>
      <c r="AW162" s="24">
        <f>IF($A162="","",IF(AU162="淘汰","",ROUND(SUMPRODUCT(Z162:AT162,Z$2:AT$2)/5,1)))</f>
        <v/>
      </c>
      <c r="AX162" s="24">
        <f>IF($A162="","",IF(AV162="淘汰","",ROUND(SUMPRODUCT(Z162:AT162,Z$3:AT$3)/5,1)))</f>
        <v/>
      </c>
    </row>
    <row r="163" ht="15.75" customHeight="1" s="25">
      <c r="A163" s="22" t="n"/>
      <c r="B163" s="20" t="n"/>
      <c r="C163" s="22" t="n"/>
      <c r="D163" s="22" t="n"/>
      <c r="E163" s="22" t="n"/>
      <c r="F163" s="22" t="n"/>
      <c r="G163" s="21" t="n"/>
      <c r="H163" s="21" t="n"/>
      <c r="I163" s="21" t="n"/>
      <c r="J163" s="21" t="n"/>
      <c r="K163" s="21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3">
        <f>IF(E163="","",IF('分位数阈值'!$D$2="","",IFS(E163&gt;='分位数阈值'!$D$2,5,E163&gt;='分位数阈值'!$E$2,4,E163&gt;='分位数阈值'!$F$2,3,E163&gt;='分位数阈值'!$G$2,2,TRUE,1)))</f>
        <v/>
      </c>
      <c r="AA163" s="23">
        <f>IF(F163="","",IF('分位数阈值'!$D$3="","",IFS(F163&gt;='分位数阈值'!$D$3,5,F163&gt;='分位数阈值'!$E$3,4,F163&gt;='分位数阈值'!$F$3,3,F163&gt;='分位数阈值'!$G$3,2,TRUE,1)))</f>
        <v/>
      </c>
      <c r="AB163" s="23">
        <f>IF(G163="","",IF('分位数阈值'!$D$4="","",IFS(G163&gt;='分位数阈值'!$D$4,5,G163&gt;='分位数阈值'!$E$4,4,G163&gt;='分位数阈值'!$F$4,3,G163&gt;='分位数阈值'!$G$4,2,TRUE,1)))</f>
        <v/>
      </c>
      <c r="AC163" s="23">
        <f>IF(H163="","",IF('分位数阈值'!$D$5="","",IFS(H163&gt;='分位数阈值'!$D$5,5,H163&gt;='分位数阈值'!$E$5,4,H163&gt;='分位数阈值'!$F$5,3,H163&gt;='分位数阈值'!$G$5,2,TRUE,1)))</f>
        <v/>
      </c>
      <c r="AD163" s="23">
        <f>IF(I163="","",IF('分位数阈值'!$D$6="","",IFS(I163&gt;='分位数阈值'!$D$6,5,I163&gt;='分位数阈值'!$E$6,4,I163&gt;='分位数阈值'!$F$6,3,I163&gt;='分位数阈值'!$G$6,2,TRUE,1)))</f>
        <v/>
      </c>
      <c r="AE163" s="23">
        <f>IF(J163="","",IF('分位数阈值'!$D$7="","",IFS(J163&gt;='分位数阈值'!$D$7,5,J163&gt;='分位数阈值'!$E$7,4,J163&gt;='分位数阈值'!$F$7,3,J163&gt;='分位数阈值'!$G$7,2,TRUE,1)))</f>
        <v/>
      </c>
      <c r="AF163" s="23">
        <f>IF(K163="","",IF('分位数阈值'!$D$8="","",IFS(K163&gt;='分位数阈值'!$D$8,5,K163&gt;='分位数阈值'!$E$8,4,K163&gt;='分位数阈值'!$F$8,3,K163&gt;='分位数阈值'!$G$8,2,TRUE,1)))</f>
        <v/>
      </c>
      <c r="AG163" s="23">
        <f>IF(L163="","",IF('分位数阈值'!$D$9="","",IFS(L163&gt;='分位数阈值'!$D$9,5,L163&gt;='分位数阈值'!$E$9,4,L163&gt;='分位数阈值'!$F$9,3,L163&gt;='分位数阈值'!$G$9,2,TRUE,1)))</f>
        <v/>
      </c>
      <c r="AH163" s="23">
        <f>IF(M163="","",IF('分位数阈值'!$D$10="","",IFS(M163&lt;='分位数阈值'!$G$10,5,M163&lt;='分位数阈值'!$F$10,4,M163&lt;='分位数阈值'!$E$10,3,M163&lt;='分位数阈值'!$D$10,2,TRUE,1)))</f>
        <v/>
      </c>
      <c r="AI163" s="23">
        <f>IF(N163="","",IF('分位数阈值'!$D$11="","",IFS(N163&lt;='分位数阈值'!$G$11,5,N163&lt;='分位数阈值'!$F$11,4,N163&lt;='分位数阈值'!$E$11,3,N163&lt;='分位数阈值'!$D$11,2,TRUE,1)))</f>
        <v/>
      </c>
      <c r="AJ163" s="23">
        <f>IF(P163="","",IF(P163=1,1,5))</f>
        <v/>
      </c>
      <c r="AK163" s="23">
        <f>IF(Q163="","",IF(Q163=1,1,5))</f>
        <v/>
      </c>
      <c r="AL163" s="23">
        <f>IF(O163="","",IF('分位数阈值'!$D$12="","",IFS(O163&gt;='分位数阈值'!$D$12,5,O163&gt;='分位数阈值'!$E$12,4,O163&gt;='分位数阈值'!$F$12,3,O163&gt;='分位数阈值'!$G$12,2,TRUE,1)))</f>
        <v/>
      </c>
      <c r="AM163" s="23">
        <f>IF(R163="","",IF('分位数阈值'!$D$13="","",IFS(R163&lt;='分位数阈值'!$G$13,5,R163&lt;='分位数阈值'!$F$13,4,R163&lt;='分位数阈值'!$E$13,3,R163&lt;='分位数阈值'!$D$13,2,TRUE,1)))</f>
        <v/>
      </c>
      <c r="AN163" s="23">
        <f>IF(S163="","",IF('分位数阈值'!$D$14="","",IFS(S163&lt;='分位数阈值'!$G$14,5,S163&lt;='分位数阈值'!$F$14,4,S163&lt;='分位数阈值'!$E$14,3,S163&lt;='分位数阈值'!$D$14,2,TRUE,1)))</f>
        <v/>
      </c>
      <c r="AO163" s="23">
        <f>IF(T163="","",IF('分位数阈值'!$D$15="","",IFS(T163&lt;='分位数阈值'!$G$15,5,T163&lt;='分位数阈值'!$F$15,4,T163&lt;='分位数阈值'!$E$15,3,T163&lt;='分位数阈值'!$D$15,2,TRUE,1)))</f>
        <v/>
      </c>
      <c r="AP163" s="23">
        <f>IF(U163="","",IF(U163=1,5,1))</f>
        <v/>
      </c>
      <c r="AQ163" s="23">
        <f>IF(V163="","",V163)</f>
        <v/>
      </c>
      <c r="AR163" s="23">
        <f>IF(W163="","",IF('分位数阈值'!$D$16="","",IFS(W163&lt;='分位数阈值'!$G$16,5,W163&lt;='分位数阈值'!$F$16,4,W163&lt;='分位数阈值'!$E$16,3,W163&lt;='分位数阈值'!$D$16,2,TRUE,1)))</f>
        <v/>
      </c>
      <c r="AS163" s="23">
        <f>IF(X163="","",X163)</f>
        <v/>
      </c>
      <c r="AT163" s="23">
        <f>IF(Y163="","",Y163)</f>
        <v/>
      </c>
      <c r="AU163" s="10">
        <f>IF($A163="","",IF(OR(Z163=1,AR163=1,AJ163=1),"淘汰","通过"))</f>
        <v/>
      </c>
      <c r="AV163" s="10">
        <f>IF($A163="","",IF(OR(AA163=1,AR163=1,AND(AK163=1,AI163=1),AO163=1),"淘汰","通过"))</f>
        <v/>
      </c>
      <c r="AW163" s="24">
        <f>IF($A163="","",IF(AU163="淘汰","",ROUND(SUMPRODUCT(Z163:AT163,Z$2:AT$2)/5,1)))</f>
        <v/>
      </c>
      <c r="AX163" s="24">
        <f>IF($A163="","",IF(AV163="淘汰","",ROUND(SUMPRODUCT(Z163:AT163,Z$3:AT$3)/5,1)))</f>
        <v/>
      </c>
    </row>
    <row r="164" ht="15.75" customHeight="1" s="25">
      <c r="A164" s="22" t="n"/>
      <c r="B164" s="20" t="n"/>
      <c r="C164" s="22" t="n"/>
      <c r="D164" s="22" t="n"/>
      <c r="E164" s="22" t="n"/>
      <c r="F164" s="22" t="n"/>
      <c r="G164" s="21" t="n"/>
      <c r="H164" s="21" t="n"/>
      <c r="I164" s="21" t="n"/>
      <c r="J164" s="21" t="n"/>
      <c r="K164" s="21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3">
        <f>IF(E164="","",IF('分位数阈值'!$D$2="","",IFS(E164&gt;='分位数阈值'!$D$2,5,E164&gt;='分位数阈值'!$E$2,4,E164&gt;='分位数阈值'!$F$2,3,E164&gt;='分位数阈值'!$G$2,2,TRUE,1)))</f>
        <v/>
      </c>
      <c r="AA164" s="23">
        <f>IF(F164="","",IF('分位数阈值'!$D$3="","",IFS(F164&gt;='分位数阈值'!$D$3,5,F164&gt;='分位数阈值'!$E$3,4,F164&gt;='分位数阈值'!$F$3,3,F164&gt;='分位数阈值'!$G$3,2,TRUE,1)))</f>
        <v/>
      </c>
      <c r="AB164" s="23">
        <f>IF(G164="","",IF('分位数阈值'!$D$4="","",IFS(G164&gt;='分位数阈值'!$D$4,5,G164&gt;='分位数阈值'!$E$4,4,G164&gt;='分位数阈值'!$F$4,3,G164&gt;='分位数阈值'!$G$4,2,TRUE,1)))</f>
        <v/>
      </c>
      <c r="AC164" s="23">
        <f>IF(H164="","",IF('分位数阈值'!$D$5="","",IFS(H164&gt;='分位数阈值'!$D$5,5,H164&gt;='分位数阈值'!$E$5,4,H164&gt;='分位数阈值'!$F$5,3,H164&gt;='分位数阈值'!$G$5,2,TRUE,1)))</f>
        <v/>
      </c>
      <c r="AD164" s="23">
        <f>IF(I164="","",IF('分位数阈值'!$D$6="","",IFS(I164&gt;='分位数阈值'!$D$6,5,I164&gt;='分位数阈值'!$E$6,4,I164&gt;='分位数阈值'!$F$6,3,I164&gt;='分位数阈值'!$G$6,2,TRUE,1)))</f>
        <v/>
      </c>
      <c r="AE164" s="23">
        <f>IF(J164="","",IF('分位数阈值'!$D$7="","",IFS(J164&gt;='分位数阈值'!$D$7,5,J164&gt;='分位数阈值'!$E$7,4,J164&gt;='分位数阈值'!$F$7,3,J164&gt;='分位数阈值'!$G$7,2,TRUE,1)))</f>
        <v/>
      </c>
      <c r="AF164" s="23">
        <f>IF(K164="","",IF('分位数阈值'!$D$8="","",IFS(K164&gt;='分位数阈值'!$D$8,5,K164&gt;='分位数阈值'!$E$8,4,K164&gt;='分位数阈值'!$F$8,3,K164&gt;='分位数阈值'!$G$8,2,TRUE,1)))</f>
        <v/>
      </c>
      <c r="AG164" s="23">
        <f>IF(L164="","",IF('分位数阈值'!$D$9="","",IFS(L164&gt;='分位数阈值'!$D$9,5,L164&gt;='分位数阈值'!$E$9,4,L164&gt;='分位数阈值'!$F$9,3,L164&gt;='分位数阈值'!$G$9,2,TRUE,1)))</f>
        <v/>
      </c>
      <c r="AH164" s="23">
        <f>IF(M164="","",IF('分位数阈值'!$D$10="","",IFS(M164&lt;='分位数阈值'!$G$10,5,M164&lt;='分位数阈值'!$F$10,4,M164&lt;='分位数阈值'!$E$10,3,M164&lt;='分位数阈值'!$D$10,2,TRUE,1)))</f>
        <v/>
      </c>
      <c r="AI164" s="23">
        <f>IF(N164="","",IF('分位数阈值'!$D$11="","",IFS(N164&lt;='分位数阈值'!$G$11,5,N164&lt;='分位数阈值'!$F$11,4,N164&lt;='分位数阈值'!$E$11,3,N164&lt;='分位数阈值'!$D$11,2,TRUE,1)))</f>
        <v/>
      </c>
      <c r="AJ164" s="23">
        <f>IF(P164="","",IF(P164=1,1,5))</f>
        <v/>
      </c>
      <c r="AK164" s="23">
        <f>IF(Q164="","",IF(Q164=1,1,5))</f>
        <v/>
      </c>
      <c r="AL164" s="23">
        <f>IF(O164="","",IF('分位数阈值'!$D$12="","",IFS(O164&gt;='分位数阈值'!$D$12,5,O164&gt;='分位数阈值'!$E$12,4,O164&gt;='分位数阈值'!$F$12,3,O164&gt;='分位数阈值'!$G$12,2,TRUE,1)))</f>
        <v/>
      </c>
      <c r="AM164" s="23">
        <f>IF(R164="","",IF('分位数阈值'!$D$13="","",IFS(R164&lt;='分位数阈值'!$G$13,5,R164&lt;='分位数阈值'!$F$13,4,R164&lt;='分位数阈值'!$E$13,3,R164&lt;='分位数阈值'!$D$13,2,TRUE,1)))</f>
        <v/>
      </c>
      <c r="AN164" s="23">
        <f>IF(S164="","",IF('分位数阈值'!$D$14="","",IFS(S164&lt;='分位数阈值'!$G$14,5,S164&lt;='分位数阈值'!$F$14,4,S164&lt;='分位数阈值'!$E$14,3,S164&lt;='分位数阈值'!$D$14,2,TRUE,1)))</f>
        <v/>
      </c>
      <c r="AO164" s="23">
        <f>IF(T164="","",IF('分位数阈值'!$D$15="","",IFS(T164&lt;='分位数阈值'!$G$15,5,T164&lt;='分位数阈值'!$F$15,4,T164&lt;='分位数阈值'!$E$15,3,T164&lt;='分位数阈值'!$D$15,2,TRUE,1)))</f>
        <v/>
      </c>
      <c r="AP164" s="23">
        <f>IF(U164="","",IF(U164=1,5,1))</f>
        <v/>
      </c>
      <c r="AQ164" s="23">
        <f>IF(V164="","",V164)</f>
        <v/>
      </c>
      <c r="AR164" s="23">
        <f>IF(W164="","",IF('分位数阈值'!$D$16="","",IFS(W164&lt;='分位数阈值'!$G$16,5,W164&lt;='分位数阈值'!$F$16,4,W164&lt;='分位数阈值'!$E$16,3,W164&lt;='分位数阈值'!$D$16,2,TRUE,1)))</f>
        <v/>
      </c>
      <c r="AS164" s="23">
        <f>IF(X164="","",X164)</f>
        <v/>
      </c>
      <c r="AT164" s="23">
        <f>IF(Y164="","",Y164)</f>
        <v/>
      </c>
      <c r="AU164" s="10">
        <f>IF($A164="","",IF(OR(Z164=1,AR164=1,AJ164=1),"淘汰","通过"))</f>
        <v/>
      </c>
      <c r="AV164" s="10">
        <f>IF($A164="","",IF(OR(AA164=1,AR164=1,AND(AK164=1,AI164=1),AO164=1),"淘汰","通过"))</f>
        <v/>
      </c>
      <c r="AW164" s="24">
        <f>IF($A164="","",IF(AU164="淘汰","",ROUND(SUMPRODUCT(Z164:AT164,Z$2:AT$2)/5,1)))</f>
        <v/>
      </c>
      <c r="AX164" s="24">
        <f>IF($A164="","",IF(AV164="淘汰","",ROUND(SUMPRODUCT(Z164:AT164,Z$3:AT$3)/5,1)))</f>
        <v/>
      </c>
    </row>
    <row r="165" ht="15.75" customHeight="1" s="25">
      <c r="A165" s="22" t="n"/>
      <c r="B165" s="20" t="n"/>
      <c r="C165" s="22" t="n"/>
      <c r="D165" s="22" t="n"/>
      <c r="E165" s="22" t="n"/>
      <c r="F165" s="22" t="n"/>
      <c r="G165" s="21" t="n"/>
      <c r="H165" s="21" t="n"/>
      <c r="I165" s="21" t="n"/>
      <c r="J165" s="21" t="n"/>
      <c r="K165" s="21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3">
        <f>IF(E165="","",IF('分位数阈值'!$D$2="","",IFS(E165&gt;='分位数阈值'!$D$2,5,E165&gt;='分位数阈值'!$E$2,4,E165&gt;='分位数阈值'!$F$2,3,E165&gt;='分位数阈值'!$G$2,2,TRUE,1)))</f>
        <v/>
      </c>
      <c r="AA165" s="23">
        <f>IF(F165="","",IF('分位数阈值'!$D$3="","",IFS(F165&gt;='分位数阈值'!$D$3,5,F165&gt;='分位数阈值'!$E$3,4,F165&gt;='分位数阈值'!$F$3,3,F165&gt;='分位数阈值'!$G$3,2,TRUE,1)))</f>
        <v/>
      </c>
      <c r="AB165" s="23">
        <f>IF(G165="","",IF('分位数阈值'!$D$4="","",IFS(G165&gt;='分位数阈值'!$D$4,5,G165&gt;='分位数阈值'!$E$4,4,G165&gt;='分位数阈值'!$F$4,3,G165&gt;='分位数阈值'!$G$4,2,TRUE,1)))</f>
        <v/>
      </c>
      <c r="AC165" s="23">
        <f>IF(H165="","",IF('分位数阈值'!$D$5="","",IFS(H165&gt;='分位数阈值'!$D$5,5,H165&gt;='分位数阈值'!$E$5,4,H165&gt;='分位数阈值'!$F$5,3,H165&gt;='分位数阈值'!$G$5,2,TRUE,1)))</f>
        <v/>
      </c>
      <c r="AD165" s="23">
        <f>IF(I165="","",IF('分位数阈值'!$D$6="","",IFS(I165&gt;='分位数阈值'!$D$6,5,I165&gt;='分位数阈值'!$E$6,4,I165&gt;='分位数阈值'!$F$6,3,I165&gt;='分位数阈值'!$G$6,2,TRUE,1)))</f>
        <v/>
      </c>
      <c r="AE165" s="23">
        <f>IF(J165="","",IF('分位数阈值'!$D$7="","",IFS(J165&gt;='分位数阈值'!$D$7,5,J165&gt;='分位数阈值'!$E$7,4,J165&gt;='分位数阈值'!$F$7,3,J165&gt;='分位数阈值'!$G$7,2,TRUE,1)))</f>
        <v/>
      </c>
      <c r="AF165" s="23">
        <f>IF(K165="","",IF('分位数阈值'!$D$8="","",IFS(K165&gt;='分位数阈值'!$D$8,5,K165&gt;='分位数阈值'!$E$8,4,K165&gt;='分位数阈值'!$F$8,3,K165&gt;='分位数阈值'!$G$8,2,TRUE,1)))</f>
        <v/>
      </c>
      <c r="AG165" s="23">
        <f>IF(L165="","",IF('分位数阈值'!$D$9="","",IFS(L165&gt;='分位数阈值'!$D$9,5,L165&gt;='分位数阈值'!$E$9,4,L165&gt;='分位数阈值'!$F$9,3,L165&gt;='分位数阈值'!$G$9,2,TRUE,1)))</f>
        <v/>
      </c>
      <c r="AH165" s="23">
        <f>IF(M165="","",IF('分位数阈值'!$D$10="","",IFS(M165&lt;='分位数阈值'!$G$10,5,M165&lt;='分位数阈值'!$F$10,4,M165&lt;='分位数阈值'!$E$10,3,M165&lt;='分位数阈值'!$D$10,2,TRUE,1)))</f>
        <v/>
      </c>
      <c r="AI165" s="23">
        <f>IF(N165="","",IF('分位数阈值'!$D$11="","",IFS(N165&lt;='分位数阈值'!$G$11,5,N165&lt;='分位数阈值'!$F$11,4,N165&lt;='分位数阈值'!$E$11,3,N165&lt;='分位数阈值'!$D$11,2,TRUE,1)))</f>
        <v/>
      </c>
      <c r="AJ165" s="23">
        <f>IF(P165="","",IF(P165=1,1,5))</f>
        <v/>
      </c>
      <c r="AK165" s="23">
        <f>IF(Q165="","",IF(Q165=1,1,5))</f>
        <v/>
      </c>
      <c r="AL165" s="23">
        <f>IF(O165="","",IF('分位数阈值'!$D$12="","",IFS(O165&gt;='分位数阈值'!$D$12,5,O165&gt;='分位数阈值'!$E$12,4,O165&gt;='分位数阈值'!$F$12,3,O165&gt;='分位数阈值'!$G$12,2,TRUE,1)))</f>
        <v/>
      </c>
      <c r="AM165" s="23">
        <f>IF(R165="","",IF('分位数阈值'!$D$13="","",IFS(R165&lt;='分位数阈值'!$G$13,5,R165&lt;='分位数阈值'!$F$13,4,R165&lt;='分位数阈值'!$E$13,3,R165&lt;='分位数阈值'!$D$13,2,TRUE,1)))</f>
        <v/>
      </c>
      <c r="AN165" s="23">
        <f>IF(S165="","",IF('分位数阈值'!$D$14="","",IFS(S165&lt;='分位数阈值'!$G$14,5,S165&lt;='分位数阈值'!$F$14,4,S165&lt;='分位数阈值'!$E$14,3,S165&lt;='分位数阈值'!$D$14,2,TRUE,1)))</f>
        <v/>
      </c>
      <c r="AO165" s="23">
        <f>IF(T165="","",IF('分位数阈值'!$D$15="","",IFS(T165&lt;='分位数阈值'!$G$15,5,T165&lt;='分位数阈值'!$F$15,4,T165&lt;='分位数阈值'!$E$15,3,T165&lt;='分位数阈值'!$D$15,2,TRUE,1)))</f>
        <v/>
      </c>
      <c r="AP165" s="23">
        <f>IF(U165="","",IF(U165=1,5,1))</f>
        <v/>
      </c>
      <c r="AQ165" s="23">
        <f>IF(V165="","",V165)</f>
        <v/>
      </c>
      <c r="AR165" s="23">
        <f>IF(W165="","",IF('分位数阈值'!$D$16="","",IFS(W165&lt;='分位数阈值'!$G$16,5,W165&lt;='分位数阈值'!$F$16,4,W165&lt;='分位数阈值'!$E$16,3,W165&lt;='分位数阈值'!$D$16,2,TRUE,1)))</f>
        <v/>
      </c>
      <c r="AS165" s="23">
        <f>IF(X165="","",X165)</f>
        <v/>
      </c>
      <c r="AT165" s="23">
        <f>IF(Y165="","",Y165)</f>
        <v/>
      </c>
      <c r="AU165" s="10">
        <f>IF($A165="","",IF(OR(Z165=1,AR165=1,AJ165=1),"淘汰","通过"))</f>
        <v/>
      </c>
      <c r="AV165" s="10">
        <f>IF($A165="","",IF(OR(AA165=1,AR165=1,AND(AK165=1,AI165=1),AO165=1),"淘汰","通过"))</f>
        <v/>
      </c>
      <c r="AW165" s="24">
        <f>IF($A165="","",IF(AU165="淘汰","",ROUND(SUMPRODUCT(Z165:AT165,Z$2:AT$2)/5,1)))</f>
        <v/>
      </c>
      <c r="AX165" s="24">
        <f>IF($A165="","",IF(AV165="淘汰","",ROUND(SUMPRODUCT(Z165:AT165,Z$3:AT$3)/5,1)))</f>
        <v/>
      </c>
    </row>
    <row r="166" ht="15.75" customHeight="1" s="25">
      <c r="A166" s="22" t="n"/>
      <c r="B166" s="20" t="n"/>
      <c r="C166" s="22" t="n"/>
      <c r="D166" s="22" t="n"/>
      <c r="E166" s="22" t="n"/>
      <c r="F166" s="22" t="n"/>
      <c r="G166" s="21" t="n"/>
      <c r="H166" s="21" t="n"/>
      <c r="I166" s="21" t="n"/>
      <c r="J166" s="21" t="n"/>
      <c r="K166" s="21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3">
        <f>IF(E166="","",IF('分位数阈值'!$D$2="","",IFS(E166&gt;='分位数阈值'!$D$2,5,E166&gt;='分位数阈值'!$E$2,4,E166&gt;='分位数阈值'!$F$2,3,E166&gt;='分位数阈值'!$G$2,2,TRUE,1)))</f>
        <v/>
      </c>
      <c r="AA166" s="23">
        <f>IF(F166="","",IF('分位数阈值'!$D$3="","",IFS(F166&gt;='分位数阈值'!$D$3,5,F166&gt;='分位数阈值'!$E$3,4,F166&gt;='分位数阈值'!$F$3,3,F166&gt;='分位数阈值'!$G$3,2,TRUE,1)))</f>
        <v/>
      </c>
      <c r="AB166" s="23">
        <f>IF(G166="","",IF('分位数阈值'!$D$4="","",IFS(G166&gt;='分位数阈值'!$D$4,5,G166&gt;='分位数阈值'!$E$4,4,G166&gt;='分位数阈值'!$F$4,3,G166&gt;='分位数阈值'!$G$4,2,TRUE,1)))</f>
        <v/>
      </c>
      <c r="AC166" s="23">
        <f>IF(H166="","",IF('分位数阈值'!$D$5="","",IFS(H166&gt;='分位数阈值'!$D$5,5,H166&gt;='分位数阈值'!$E$5,4,H166&gt;='分位数阈值'!$F$5,3,H166&gt;='分位数阈值'!$G$5,2,TRUE,1)))</f>
        <v/>
      </c>
      <c r="AD166" s="23">
        <f>IF(I166="","",IF('分位数阈值'!$D$6="","",IFS(I166&gt;='分位数阈值'!$D$6,5,I166&gt;='分位数阈值'!$E$6,4,I166&gt;='分位数阈值'!$F$6,3,I166&gt;='分位数阈值'!$G$6,2,TRUE,1)))</f>
        <v/>
      </c>
      <c r="AE166" s="23">
        <f>IF(J166="","",IF('分位数阈值'!$D$7="","",IFS(J166&gt;='分位数阈值'!$D$7,5,J166&gt;='分位数阈值'!$E$7,4,J166&gt;='分位数阈值'!$F$7,3,J166&gt;='分位数阈值'!$G$7,2,TRUE,1)))</f>
        <v/>
      </c>
      <c r="AF166" s="23">
        <f>IF(K166="","",IF('分位数阈值'!$D$8="","",IFS(K166&gt;='分位数阈值'!$D$8,5,K166&gt;='分位数阈值'!$E$8,4,K166&gt;='分位数阈值'!$F$8,3,K166&gt;='分位数阈值'!$G$8,2,TRUE,1)))</f>
        <v/>
      </c>
      <c r="AG166" s="23">
        <f>IF(L166="","",IF('分位数阈值'!$D$9="","",IFS(L166&gt;='分位数阈值'!$D$9,5,L166&gt;='分位数阈值'!$E$9,4,L166&gt;='分位数阈值'!$F$9,3,L166&gt;='分位数阈值'!$G$9,2,TRUE,1)))</f>
        <v/>
      </c>
      <c r="AH166" s="23">
        <f>IF(M166="","",IF('分位数阈值'!$D$10="","",IFS(M166&lt;='分位数阈值'!$G$10,5,M166&lt;='分位数阈值'!$F$10,4,M166&lt;='分位数阈值'!$E$10,3,M166&lt;='分位数阈值'!$D$10,2,TRUE,1)))</f>
        <v/>
      </c>
      <c r="AI166" s="23">
        <f>IF(N166="","",IF('分位数阈值'!$D$11="","",IFS(N166&lt;='分位数阈值'!$G$11,5,N166&lt;='分位数阈值'!$F$11,4,N166&lt;='分位数阈值'!$E$11,3,N166&lt;='分位数阈值'!$D$11,2,TRUE,1)))</f>
        <v/>
      </c>
      <c r="AJ166" s="23">
        <f>IF(P166="","",IF(P166=1,1,5))</f>
        <v/>
      </c>
      <c r="AK166" s="23">
        <f>IF(Q166="","",IF(Q166=1,1,5))</f>
        <v/>
      </c>
      <c r="AL166" s="23">
        <f>IF(O166="","",IF('分位数阈值'!$D$12="","",IFS(O166&gt;='分位数阈值'!$D$12,5,O166&gt;='分位数阈值'!$E$12,4,O166&gt;='分位数阈值'!$F$12,3,O166&gt;='分位数阈值'!$G$12,2,TRUE,1)))</f>
        <v/>
      </c>
      <c r="AM166" s="23">
        <f>IF(R166="","",IF('分位数阈值'!$D$13="","",IFS(R166&lt;='分位数阈值'!$G$13,5,R166&lt;='分位数阈值'!$F$13,4,R166&lt;='分位数阈值'!$E$13,3,R166&lt;='分位数阈值'!$D$13,2,TRUE,1)))</f>
        <v/>
      </c>
      <c r="AN166" s="23">
        <f>IF(S166="","",IF('分位数阈值'!$D$14="","",IFS(S166&lt;='分位数阈值'!$G$14,5,S166&lt;='分位数阈值'!$F$14,4,S166&lt;='分位数阈值'!$E$14,3,S166&lt;='分位数阈值'!$D$14,2,TRUE,1)))</f>
        <v/>
      </c>
      <c r="AO166" s="23">
        <f>IF(T166="","",IF('分位数阈值'!$D$15="","",IFS(T166&lt;='分位数阈值'!$G$15,5,T166&lt;='分位数阈值'!$F$15,4,T166&lt;='分位数阈值'!$E$15,3,T166&lt;='分位数阈值'!$D$15,2,TRUE,1)))</f>
        <v/>
      </c>
      <c r="AP166" s="23">
        <f>IF(U166="","",IF(U166=1,5,1))</f>
        <v/>
      </c>
      <c r="AQ166" s="23">
        <f>IF(V166="","",V166)</f>
        <v/>
      </c>
      <c r="AR166" s="23">
        <f>IF(W166="","",IF('分位数阈值'!$D$16="","",IFS(W166&lt;='分位数阈值'!$G$16,5,W166&lt;='分位数阈值'!$F$16,4,W166&lt;='分位数阈值'!$E$16,3,W166&lt;='分位数阈值'!$D$16,2,TRUE,1)))</f>
        <v/>
      </c>
      <c r="AS166" s="23">
        <f>IF(X166="","",X166)</f>
        <v/>
      </c>
      <c r="AT166" s="23">
        <f>IF(Y166="","",Y166)</f>
        <v/>
      </c>
      <c r="AU166" s="10">
        <f>IF($A166="","",IF(OR(Z166=1,AR166=1,AJ166=1),"淘汰","通过"))</f>
        <v/>
      </c>
      <c r="AV166" s="10">
        <f>IF($A166="","",IF(OR(AA166=1,AR166=1,AND(AK166=1,AI166=1),AO166=1),"淘汰","通过"))</f>
        <v/>
      </c>
      <c r="AW166" s="24">
        <f>IF($A166="","",IF(AU166="淘汰","",ROUND(SUMPRODUCT(Z166:AT166,Z$2:AT$2)/5,1)))</f>
        <v/>
      </c>
      <c r="AX166" s="24">
        <f>IF($A166="","",IF(AV166="淘汰","",ROUND(SUMPRODUCT(Z166:AT166,Z$3:AT$3)/5,1)))</f>
        <v/>
      </c>
    </row>
    <row r="167" ht="15.75" customHeight="1" s="25">
      <c r="A167" s="22" t="n"/>
      <c r="B167" s="20" t="n"/>
      <c r="C167" s="22" t="n"/>
      <c r="D167" s="22" t="n"/>
      <c r="E167" s="22" t="n"/>
      <c r="F167" s="22" t="n"/>
      <c r="G167" s="21" t="n"/>
      <c r="H167" s="21" t="n"/>
      <c r="I167" s="21" t="n"/>
      <c r="J167" s="21" t="n"/>
      <c r="K167" s="21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3">
        <f>IF(E167="","",IF('分位数阈值'!$D$2="","",IFS(E167&gt;='分位数阈值'!$D$2,5,E167&gt;='分位数阈值'!$E$2,4,E167&gt;='分位数阈值'!$F$2,3,E167&gt;='分位数阈值'!$G$2,2,TRUE,1)))</f>
        <v/>
      </c>
      <c r="AA167" s="23">
        <f>IF(F167="","",IF('分位数阈值'!$D$3="","",IFS(F167&gt;='分位数阈值'!$D$3,5,F167&gt;='分位数阈值'!$E$3,4,F167&gt;='分位数阈值'!$F$3,3,F167&gt;='分位数阈值'!$G$3,2,TRUE,1)))</f>
        <v/>
      </c>
      <c r="AB167" s="23">
        <f>IF(G167="","",IF('分位数阈值'!$D$4="","",IFS(G167&gt;='分位数阈值'!$D$4,5,G167&gt;='分位数阈值'!$E$4,4,G167&gt;='分位数阈值'!$F$4,3,G167&gt;='分位数阈值'!$G$4,2,TRUE,1)))</f>
        <v/>
      </c>
      <c r="AC167" s="23">
        <f>IF(H167="","",IF('分位数阈值'!$D$5="","",IFS(H167&gt;='分位数阈值'!$D$5,5,H167&gt;='分位数阈值'!$E$5,4,H167&gt;='分位数阈值'!$F$5,3,H167&gt;='分位数阈值'!$G$5,2,TRUE,1)))</f>
        <v/>
      </c>
      <c r="AD167" s="23">
        <f>IF(I167="","",IF('分位数阈值'!$D$6="","",IFS(I167&gt;='分位数阈值'!$D$6,5,I167&gt;='分位数阈值'!$E$6,4,I167&gt;='分位数阈值'!$F$6,3,I167&gt;='分位数阈值'!$G$6,2,TRUE,1)))</f>
        <v/>
      </c>
      <c r="AE167" s="23">
        <f>IF(J167="","",IF('分位数阈值'!$D$7="","",IFS(J167&gt;='分位数阈值'!$D$7,5,J167&gt;='分位数阈值'!$E$7,4,J167&gt;='分位数阈值'!$F$7,3,J167&gt;='分位数阈值'!$G$7,2,TRUE,1)))</f>
        <v/>
      </c>
      <c r="AF167" s="23">
        <f>IF(K167="","",IF('分位数阈值'!$D$8="","",IFS(K167&gt;='分位数阈值'!$D$8,5,K167&gt;='分位数阈值'!$E$8,4,K167&gt;='分位数阈值'!$F$8,3,K167&gt;='分位数阈值'!$G$8,2,TRUE,1)))</f>
        <v/>
      </c>
      <c r="AG167" s="23">
        <f>IF(L167="","",IF('分位数阈值'!$D$9="","",IFS(L167&gt;='分位数阈值'!$D$9,5,L167&gt;='分位数阈值'!$E$9,4,L167&gt;='分位数阈值'!$F$9,3,L167&gt;='分位数阈值'!$G$9,2,TRUE,1)))</f>
        <v/>
      </c>
      <c r="AH167" s="23">
        <f>IF(M167="","",IF('分位数阈值'!$D$10="","",IFS(M167&lt;='分位数阈值'!$G$10,5,M167&lt;='分位数阈值'!$F$10,4,M167&lt;='分位数阈值'!$E$10,3,M167&lt;='分位数阈值'!$D$10,2,TRUE,1)))</f>
        <v/>
      </c>
      <c r="AI167" s="23">
        <f>IF(N167="","",IF('分位数阈值'!$D$11="","",IFS(N167&lt;='分位数阈值'!$G$11,5,N167&lt;='分位数阈值'!$F$11,4,N167&lt;='分位数阈值'!$E$11,3,N167&lt;='分位数阈值'!$D$11,2,TRUE,1)))</f>
        <v/>
      </c>
      <c r="AJ167" s="23">
        <f>IF(P167="","",IF(P167=1,1,5))</f>
        <v/>
      </c>
      <c r="AK167" s="23">
        <f>IF(Q167="","",IF(Q167=1,1,5))</f>
        <v/>
      </c>
      <c r="AL167" s="23">
        <f>IF(O167="","",IF('分位数阈值'!$D$12="","",IFS(O167&gt;='分位数阈值'!$D$12,5,O167&gt;='分位数阈值'!$E$12,4,O167&gt;='分位数阈值'!$F$12,3,O167&gt;='分位数阈值'!$G$12,2,TRUE,1)))</f>
        <v/>
      </c>
      <c r="AM167" s="23">
        <f>IF(R167="","",IF('分位数阈值'!$D$13="","",IFS(R167&lt;='分位数阈值'!$G$13,5,R167&lt;='分位数阈值'!$F$13,4,R167&lt;='分位数阈值'!$E$13,3,R167&lt;='分位数阈值'!$D$13,2,TRUE,1)))</f>
        <v/>
      </c>
      <c r="AN167" s="23">
        <f>IF(S167="","",IF('分位数阈值'!$D$14="","",IFS(S167&lt;='分位数阈值'!$G$14,5,S167&lt;='分位数阈值'!$F$14,4,S167&lt;='分位数阈值'!$E$14,3,S167&lt;='分位数阈值'!$D$14,2,TRUE,1)))</f>
        <v/>
      </c>
      <c r="AO167" s="23">
        <f>IF(T167="","",IF('分位数阈值'!$D$15="","",IFS(T167&lt;='分位数阈值'!$G$15,5,T167&lt;='分位数阈值'!$F$15,4,T167&lt;='分位数阈值'!$E$15,3,T167&lt;='分位数阈值'!$D$15,2,TRUE,1)))</f>
        <v/>
      </c>
      <c r="AP167" s="23">
        <f>IF(U167="","",IF(U167=1,5,1))</f>
        <v/>
      </c>
      <c r="AQ167" s="23">
        <f>IF(V167="","",V167)</f>
        <v/>
      </c>
      <c r="AR167" s="23">
        <f>IF(W167="","",IF('分位数阈值'!$D$16="","",IFS(W167&lt;='分位数阈值'!$G$16,5,W167&lt;='分位数阈值'!$F$16,4,W167&lt;='分位数阈值'!$E$16,3,W167&lt;='分位数阈值'!$D$16,2,TRUE,1)))</f>
        <v/>
      </c>
      <c r="AS167" s="23">
        <f>IF(X167="","",X167)</f>
        <v/>
      </c>
      <c r="AT167" s="23">
        <f>IF(Y167="","",Y167)</f>
        <v/>
      </c>
      <c r="AU167" s="10">
        <f>IF($A167="","",IF(OR(Z167=1,AR167=1,AJ167=1),"淘汰","通过"))</f>
        <v/>
      </c>
      <c r="AV167" s="10">
        <f>IF($A167="","",IF(OR(AA167=1,AR167=1,AND(AK167=1,AI167=1),AO167=1),"淘汰","通过"))</f>
        <v/>
      </c>
      <c r="AW167" s="24">
        <f>IF($A167="","",IF(AU167="淘汰","",ROUND(SUMPRODUCT(Z167:AT167,Z$2:AT$2)/5,1)))</f>
        <v/>
      </c>
      <c r="AX167" s="24">
        <f>IF($A167="","",IF(AV167="淘汰","",ROUND(SUMPRODUCT(Z167:AT167,Z$3:AT$3)/5,1)))</f>
        <v/>
      </c>
    </row>
    <row r="168" ht="15.75" customHeight="1" s="25">
      <c r="A168" s="22" t="n"/>
      <c r="B168" s="20" t="n"/>
      <c r="C168" s="22" t="n"/>
      <c r="D168" s="22" t="n"/>
      <c r="E168" s="22" t="n"/>
      <c r="F168" s="22" t="n"/>
      <c r="G168" s="21" t="n"/>
      <c r="H168" s="21" t="n"/>
      <c r="I168" s="21" t="n"/>
      <c r="J168" s="21" t="n"/>
      <c r="K168" s="21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3">
        <f>IF(E168="","",IF('分位数阈值'!$D$2="","",IFS(E168&gt;='分位数阈值'!$D$2,5,E168&gt;='分位数阈值'!$E$2,4,E168&gt;='分位数阈值'!$F$2,3,E168&gt;='分位数阈值'!$G$2,2,TRUE,1)))</f>
        <v/>
      </c>
      <c r="AA168" s="23">
        <f>IF(F168="","",IF('分位数阈值'!$D$3="","",IFS(F168&gt;='分位数阈值'!$D$3,5,F168&gt;='分位数阈值'!$E$3,4,F168&gt;='分位数阈值'!$F$3,3,F168&gt;='分位数阈值'!$G$3,2,TRUE,1)))</f>
        <v/>
      </c>
      <c r="AB168" s="23">
        <f>IF(G168="","",IF('分位数阈值'!$D$4="","",IFS(G168&gt;='分位数阈值'!$D$4,5,G168&gt;='分位数阈值'!$E$4,4,G168&gt;='分位数阈值'!$F$4,3,G168&gt;='分位数阈值'!$G$4,2,TRUE,1)))</f>
        <v/>
      </c>
      <c r="AC168" s="23">
        <f>IF(H168="","",IF('分位数阈值'!$D$5="","",IFS(H168&gt;='分位数阈值'!$D$5,5,H168&gt;='分位数阈值'!$E$5,4,H168&gt;='分位数阈值'!$F$5,3,H168&gt;='分位数阈值'!$G$5,2,TRUE,1)))</f>
        <v/>
      </c>
      <c r="AD168" s="23">
        <f>IF(I168="","",IF('分位数阈值'!$D$6="","",IFS(I168&gt;='分位数阈值'!$D$6,5,I168&gt;='分位数阈值'!$E$6,4,I168&gt;='分位数阈值'!$F$6,3,I168&gt;='分位数阈值'!$G$6,2,TRUE,1)))</f>
        <v/>
      </c>
      <c r="AE168" s="23">
        <f>IF(J168="","",IF('分位数阈值'!$D$7="","",IFS(J168&gt;='分位数阈值'!$D$7,5,J168&gt;='分位数阈值'!$E$7,4,J168&gt;='分位数阈值'!$F$7,3,J168&gt;='分位数阈值'!$G$7,2,TRUE,1)))</f>
        <v/>
      </c>
      <c r="AF168" s="23">
        <f>IF(K168="","",IF('分位数阈值'!$D$8="","",IFS(K168&gt;='分位数阈值'!$D$8,5,K168&gt;='分位数阈值'!$E$8,4,K168&gt;='分位数阈值'!$F$8,3,K168&gt;='分位数阈值'!$G$8,2,TRUE,1)))</f>
        <v/>
      </c>
      <c r="AG168" s="23">
        <f>IF(L168="","",IF('分位数阈值'!$D$9="","",IFS(L168&gt;='分位数阈值'!$D$9,5,L168&gt;='分位数阈值'!$E$9,4,L168&gt;='分位数阈值'!$F$9,3,L168&gt;='分位数阈值'!$G$9,2,TRUE,1)))</f>
        <v/>
      </c>
      <c r="AH168" s="23">
        <f>IF(M168="","",IF('分位数阈值'!$D$10="","",IFS(M168&lt;='分位数阈值'!$G$10,5,M168&lt;='分位数阈值'!$F$10,4,M168&lt;='分位数阈值'!$E$10,3,M168&lt;='分位数阈值'!$D$10,2,TRUE,1)))</f>
        <v/>
      </c>
      <c r="AI168" s="23">
        <f>IF(N168="","",IF('分位数阈值'!$D$11="","",IFS(N168&lt;='分位数阈值'!$G$11,5,N168&lt;='分位数阈值'!$F$11,4,N168&lt;='分位数阈值'!$E$11,3,N168&lt;='分位数阈值'!$D$11,2,TRUE,1)))</f>
        <v/>
      </c>
      <c r="AJ168" s="23">
        <f>IF(P168="","",IF(P168=1,1,5))</f>
        <v/>
      </c>
      <c r="AK168" s="23">
        <f>IF(Q168="","",IF(Q168=1,1,5))</f>
        <v/>
      </c>
      <c r="AL168" s="23">
        <f>IF(O168="","",IF('分位数阈值'!$D$12="","",IFS(O168&gt;='分位数阈值'!$D$12,5,O168&gt;='分位数阈值'!$E$12,4,O168&gt;='分位数阈值'!$F$12,3,O168&gt;='分位数阈值'!$G$12,2,TRUE,1)))</f>
        <v/>
      </c>
      <c r="AM168" s="23">
        <f>IF(R168="","",IF('分位数阈值'!$D$13="","",IFS(R168&lt;='分位数阈值'!$G$13,5,R168&lt;='分位数阈值'!$F$13,4,R168&lt;='分位数阈值'!$E$13,3,R168&lt;='分位数阈值'!$D$13,2,TRUE,1)))</f>
        <v/>
      </c>
      <c r="AN168" s="23">
        <f>IF(S168="","",IF('分位数阈值'!$D$14="","",IFS(S168&lt;='分位数阈值'!$G$14,5,S168&lt;='分位数阈值'!$F$14,4,S168&lt;='分位数阈值'!$E$14,3,S168&lt;='分位数阈值'!$D$14,2,TRUE,1)))</f>
        <v/>
      </c>
      <c r="AO168" s="23">
        <f>IF(T168="","",IF('分位数阈值'!$D$15="","",IFS(T168&lt;='分位数阈值'!$G$15,5,T168&lt;='分位数阈值'!$F$15,4,T168&lt;='分位数阈值'!$E$15,3,T168&lt;='分位数阈值'!$D$15,2,TRUE,1)))</f>
        <v/>
      </c>
      <c r="AP168" s="23">
        <f>IF(U168="","",IF(U168=1,5,1))</f>
        <v/>
      </c>
      <c r="AQ168" s="23">
        <f>IF(V168="","",V168)</f>
        <v/>
      </c>
      <c r="AR168" s="23">
        <f>IF(W168="","",IF('分位数阈值'!$D$16="","",IFS(W168&lt;='分位数阈值'!$G$16,5,W168&lt;='分位数阈值'!$F$16,4,W168&lt;='分位数阈值'!$E$16,3,W168&lt;='分位数阈值'!$D$16,2,TRUE,1)))</f>
        <v/>
      </c>
      <c r="AS168" s="23">
        <f>IF(X168="","",X168)</f>
        <v/>
      </c>
      <c r="AT168" s="23">
        <f>IF(Y168="","",Y168)</f>
        <v/>
      </c>
      <c r="AU168" s="10">
        <f>IF($A168="","",IF(OR(Z168=1,AR168=1,AJ168=1),"淘汰","通过"))</f>
        <v/>
      </c>
      <c r="AV168" s="10">
        <f>IF($A168="","",IF(OR(AA168=1,AR168=1,AND(AK168=1,AI168=1),AO168=1),"淘汰","通过"))</f>
        <v/>
      </c>
      <c r="AW168" s="24">
        <f>IF($A168="","",IF(AU168="淘汰","",ROUND(SUMPRODUCT(Z168:AT168,Z$2:AT$2)/5,1)))</f>
        <v/>
      </c>
      <c r="AX168" s="24">
        <f>IF($A168="","",IF(AV168="淘汰","",ROUND(SUMPRODUCT(Z168:AT168,Z$3:AT$3)/5,1)))</f>
        <v/>
      </c>
    </row>
    <row r="169" ht="15.75" customHeight="1" s="25">
      <c r="A169" s="22" t="n"/>
      <c r="B169" s="20" t="n"/>
      <c r="C169" s="22" t="n"/>
      <c r="D169" s="22" t="n"/>
      <c r="E169" s="22" t="n"/>
      <c r="F169" s="22" t="n"/>
      <c r="G169" s="21" t="n"/>
      <c r="H169" s="21" t="n"/>
      <c r="I169" s="21" t="n"/>
      <c r="J169" s="21" t="n"/>
      <c r="K169" s="21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3">
        <f>IF(E169="","",IF('分位数阈值'!$D$2="","",IFS(E169&gt;='分位数阈值'!$D$2,5,E169&gt;='分位数阈值'!$E$2,4,E169&gt;='分位数阈值'!$F$2,3,E169&gt;='分位数阈值'!$G$2,2,TRUE,1)))</f>
        <v/>
      </c>
      <c r="AA169" s="23">
        <f>IF(F169="","",IF('分位数阈值'!$D$3="","",IFS(F169&gt;='分位数阈值'!$D$3,5,F169&gt;='分位数阈值'!$E$3,4,F169&gt;='分位数阈值'!$F$3,3,F169&gt;='分位数阈值'!$G$3,2,TRUE,1)))</f>
        <v/>
      </c>
      <c r="AB169" s="23">
        <f>IF(G169="","",IF('分位数阈值'!$D$4="","",IFS(G169&gt;='分位数阈值'!$D$4,5,G169&gt;='分位数阈值'!$E$4,4,G169&gt;='分位数阈值'!$F$4,3,G169&gt;='分位数阈值'!$G$4,2,TRUE,1)))</f>
        <v/>
      </c>
      <c r="AC169" s="23">
        <f>IF(H169="","",IF('分位数阈值'!$D$5="","",IFS(H169&gt;='分位数阈值'!$D$5,5,H169&gt;='分位数阈值'!$E$5,4,H169&gt;='分位数阈值'!$F$5,3,H169&gt;='分位数阈值'!$G$5,2,TRUE,1)))</f>
        <v/>
      </c>
      <c r="AD169" s="23">
        <f>IF(I169="","",IF('分位数阈值'!$D$6="","",IFS(I169&gt;='分位数阈值'!$D$6,5,I169&gt;='分位数阈值'!$E$6,4,I169&gt;='分位数阈值'!$F$6,3,I169&gt;='分位数阈值'!$G$6,2,TRUE,1)))</f>
        <v/>
      </c>
      <c r="AE169" s="23">
        <f>IF(J169="","",IF('分位数阈值'!$D$7="","",IFS(J169&gt;='分位数阈值'!$D$7,5,J169&gt;='分位数阈值'!$E$7,4,J169&gt;='分位数阈值'!$F$7,3,J169&gt;='分位数阈值'!$G$7,2,TRUE,1)))</f>
        <v/>
      </c>
      <c r="AF169" s="23">
        <f>IF(K169="","",IF('分位数阈值'!$D$8="","",IFS(K169&gt;='分位数阈值'!$D$8,5,K169&gt;='分位数阈值'!$E$8,4,K169&gt;='分位数阈值'!$F$8,3,K169&gt;='分位数阈值'!$G$8,2,TRUE,1)))</f>
        <v/>
      </c>
      <c r="AG169" s="23">
        <f>IF(L169="","",IF('分位数阈值'!$D$9="","",IFS(L169&gt;='分位数阈值'!$D$9,5,L169&gt;='分位数阈值'!$E$9,4,L169&gt;='分位数阈值'!$F$9,3,L169&gt;='分位数阈值'!$G$9,2,TRUE,1)))</f>
        <v/>
      </c>
      <c r="AH169" s="23">
        <f>IF(M169="","",IF('分位数阈值'!$D$10="","",IFS(M169&lt;='分位数阈值'!$G$10,5,M169&lt;='分位数阈值'!$F$10,4,M169&lt;='分位数阈值'!$E$10,3,M169&lt;='分位数阈值'!$D$10,2,TRUE,1)))</f>
        <v/>
      </c>
      <c r="AI169" s="23">
        <f>IF(N169="","",IF('分位数阈值'!$D$11="","",IFS(N169&lt;='分位数阈值'!$G$11,5,N169&lt;='分位数阈值'!$F$11,4,N169&lt;='分位数阈值'!$E$11,3,N169&lt;='分位数阈值'!$D$11,2,TRUE,1)))</f>
        <v/>
      </c>
      <c r="AJ169" s="23">
        <f>IF(P169="","",IF(P169=1,1,5))</f>
        <v/>
      </c>
      <c r="AK169" s="23">
        <f>IF(Q169="","",IF(Q169=1,1,5))</f>
        <v/>
      </c>
      <c r="AL169" s="23">
        <f>IF(O169="","",IF('分位数阈值'!$D$12="","",IFS(O169&gt;='分位数阈值'!$D$12,5,O169&gt;='分位数阈值'!$E$12,4,O169&gt;='分位数阈值'!$F$12,3,O169&gt;='分位数阈值'!$G$12,2,TRUE,1)))</f>
        <v/>
      </c>
      <c r="AM169" s="23">
        <f>IF(R169="","",IF('分位数阈值'!$D$13="","",IFS(R169&lt;='分位数阈值'!$G$13,5,R169&lt;='分位数阈值'!$F$13,4,R169&lt;='分位数阈值'!$E$13,3,R169&lt;='分位数阈值'!$D$13,2,TRUE,1)))</f>
        <v/>
      </c>
      <c r="AN169" s="23">
        <f>IF(S169="","",IF('分位数阈值'!$D$14="","",IFS(S169&lt;='分位数阈值'!$G$14,5,S169&lt;='分位数阈值'!$F$14,4,S169&lt;='分位数阈值'!$E$14,3,S169&lt;='分位数阈值'!$D$14,2,TRUE,1)))</f>
        <v/>
      </c>
      <c r="AO169" s="23">
        <f>IF(T169="","",IF('分位数阈值'!$D$15="","",IFS(T169&lt;='分位数阈值'!$G$15,5,T169&lt;='分位数阈值'!$F$15,4,T169&lt;='分位数阈值'!$E$15,3,T169&lt;='分位数阈值'!$D$15,2,TRUE,1)))</f>
        <v/>
      </c>
      <c r="AP169" s="23">
        <f>IF(U169="","",IF(U169=1,5,1))</f>
        <v/>
      </c>
      <c r="AQ169" s="23">
        <f>IF(V169="","",V169)</f>
        <v/>
      </c>
      <c r="AR169" s="23">
        <f>IF(W169="","",IF('分位数阈值'!$D$16="","",IFS(W169&lt;='分位数阈值'!$G$16,5,W169&lt;='分位数阈值'!$F$16,4,W169&lt;='分位数阈值'!$E$16,3,W169&lt;='分位数阈值'!$D$16,2,TRUE,1)))</f>
        <v/>
      </c>
      <c r="AS169" s="23">
        <f>IF(X169="","",X169)</f>
        <v/>
      </c>
      <c r="AT169" s="23">
        <f>IF(Y169="","",Y169)</f>
        <v/>
      </c>
      <c r="AU169" s="10">
        <f>IF($A169="","",IF(OR(Z169=1,AR169=1,AJ169=1),"淘汰","通过"))</f>
        <v/>
      </c>
      <c r="AV169" s="10">
        <f>IF($A169="","",IF(OR(AA169=1,AR169=1,AND(AK169=1,AI169=1),AO169=1),"淘汰","通过"))</f>
        <v/>
      </c>
      <c r="AW169" s="24">
        <f>IF($A169="","",IF(AU169="淘汰","",ROUND(SUMPRODUCT(Z169:AT169,Z$2:AT$2)/5,1)))</f>
        <v/>
      </c>
      <c r="AX169" s="24">
        <f>IF($A169="","",IF(AV169="淘汰","",ROUND(SUMPRODUCT(Z169:AT169,Z$3:AT$3)/5,1)))</f>
        <v/>
      </c>
    </row>
    <row r="170" ht="15.75" customHeight="1" s="25">
      <c r="A170" s="22" t="n"/>
      <c r="B170" s="20" t="n"/>
      <c r="C170" s="22" t="n"/>
      <c r="D170" s="22" t="n"/>
      <c r="E170" s="22" t="n"/>
      <c r="F170" s="22" t="n"/>
      <c r="G170" s="21" t="n"/>
      <c r="H170" s="21" t="n"/>
      <c r="I170" s="21" t="n"/>
      <c r="J170" s="21" t="n"/>
      <c r="K170" s="21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3">
        <f>IF(E170="","",IF('分位数阈值'!$D$2="","",IFS(E170&gt;='分位数阈值'!$D$2,5,E170&gt;='分位数阈值'!$E$2,4,E170&gt;='分位数阈值'!$F$2,3,E170&gt;='分位数阈值'!$G$2,2,TRUE,1)))</f>
        <v/>
      </c>
      <c r="AA170" s="23">
        <f>IF(F170="","",IF('分位数阈值'!$D$3="","",IFS(F170&gt;='分位数阈值'!$D$3,5,F170&gt;='分位数阈值'!$E$3,4,F170&gt;='分位数阈值'!$F$3,3,F170&gt;='分位数阈值'!$G$3,2,TRUE,1)))</f>
        <v/>
      </c>
      <c r="AB170" s="23">
        <f>IF(G170="","",IF('分位数阈值'!$D$4="","",IFS(G170&gt;='分位数阈值'!$D$4,5,G170&gt;='分位数阈值'!$E$4,4,G170&gt;='分位数阈值'!$F$4,3,G170&gt;='分位数阈值'!$G$4,2,TRUE,1)))</f>
        <v/>
      </c>
      <c r="AC170" s="23">
        <f>IF(H170="","",IF('分位数阈值'!$D$5="","",IFS(H170&gt;='分位数阈值'!$D$5,5,H170&gt;='分位数阈值'!$E$5,4,H170&gt;='分位数阈值'!$F$5,3,H170&gt;='分位数阈值'!$G$5,2,TRUE,1)))</f>
        <v/>
      </c>
      <c r="AD170" s="23">
        <f>IF(I170="","",IF('分位数阈值'!$D$6="","",IFS(I170&gt;='分位数阈值'!$D$6,5,I170&gt;='分位数阈值'!$E$6,4,I170&gt;='分位数阈值'!$F$6,3,I170&gt;='分位数阈值'!$G$6,2,TRUE,1)))</f>
        <v/>
      </c>
      <c r="AE170" s="23">
        <f>IF(J170="","",IF('分位数阈值'!$D$7="","",IFS(J170&gt;='分位数阈值'!$D$7,5,J170&gt;='分位数阈值'!$E$7,4,J170&gt;='分位数阈值'!$F$7,3,J170&gt;='分位数阈值'!$G$7,2,TRUE,1)))</f>
        <v/>
      </c>
      <c r="AF170" s="23">
        <f>IF(K170="","",IF('分位数阈值'!$D$8="","",IFS(K170&gt;='分位数阈值'!$D$8,5,K170&gt;='分位数阈值'!$E$8,4,K170&gt;='分位数阈值'!$F$8,3,K170&gt;='分位数阈值'!$G$8,2,TRUE,1)))</f>
        <v/>
      </c>
      <c r="AG170" s="23">
        <f>IF(L170="","",IF('分位数阈值'!$D$9="","",IFS(L170&gt;='分位数阈值'!$D$9,5,L170&gt;='分位数阈值'!$E$9,4,L170&gt;='分位数阈值'!$F$9,3,L170&gt;='分位数阈值'!$G$9,2,TRUE,1)))</f>
        <v/>
      </c>
      <c r="AH170" s="23">
        <f>IF(M170="","",IF('分位数阈值'!$D$10="","",IFS(M170&lt;='分位数阈值'!$G$10,5,M170&lt;='分位数阈值'!$F$10,4,M170&lt;='分位数阈值'!$E$10,3,M170&lt;='分位数阈值'!$D$10,2,TRUE,1)))</f>
        <v/>
      </c>
      <c r="AI170" s="23">
        <f>IF(N170="","",IF('分位数阈值'!$D$11="","",IFS(N170&lt;='分位数阈值'!$G$11,5,N170&lt;='分位数阈值'!$F$11,4,N170&lt;='分位数阈值'!$E$11,3,N170&lt;='分位数阈值'!$D$11,2,TRUE,1)))</f>
        <v/>
      </c>
      <c r="AJ170" s="23">
        <f>IF(P170="","",IF(P170=1,1,5))</f>
        <v/>
      </c>
      <c r="AK170" s="23">
        <f>IF(Q170="","",IF(Q170=1,1,5))</f>
        <v/>
      </c>
      <c r="AL170" s="23">
        <f>IF(O170="","",IF('分位数阈值'!$D$12="","",IFS(O170&gt;='分位数阈值'!$D$12,5,O170&gt;='分位数阈值'!$E$12,4,O170&gt;='分位数阈值'!$F$12,3,O170&gt;='分位数阈值'!$G$12,2,TRUE,1)))</f>
        <v/>
      </c>
      <c r="AM170" s="23">
        <f>IF(R170="","",IF('分位数阈值'!$D$13="","",IFS(R170&lt;='分位数阈值'!$G$13,5,R170&lt;='分位数阈值'!$F$13,4,R170&lt;='分位数阈值'!$E$13,3,R170&lt;='分位数阈值'!$D$13,2,TRUE,1)))</f>
        <v/>
      </c>
      <c r="AN170" s="23">
        <f>IF(S170="","",IF('分位数阈值'!$D$14="","",IFS(S170&lt;='分位数阈值'!$G$14,5,S170&lt;='分位数阈值'!$F$14,4,S170&lt;='分位数阈值'!$E$14,3,S170&lt;='分位数阈值'!$D$14,2,TRUE,1)))</f>
        <v/>
      </c>
      <c r="AO170" s="23">
        <f>IF(T170="","",IF('分位数阈值'!$D$15="","",IFS(T170&lt;='分位数阈值'!$G$15,5,T170&lt;='分位数阈值'!$F$15,4,T170&lt;='分位数阈值'!$E$15,3,T170&lt;='分位数阈值'!$D$15,2,TRUE,1)))</f>
        <v/>
      </c>
      <c r="AP170" s="23">
        <f>IF(U170="","",IF(U170=1,5,1))</f>
        <v/>
      </c>
      <c r="AQ170" s="23">
        <f>IF(V170="","",V170)</f>
        <v/>
      </c>
      <c r="AR170" s="23">
        <f>IF(W170="","",IF('分位数阈值'!$D$16="","",IFS(W170&lt;='分位数阈值'!$G$16,5,W170&lt;='分位数阈值'!$F$16,4,W170&lt;='分位数阈值'!$E$16,3,W170&lt;='分位数阈值'!$D$16,2,TRUE,1)))</f>
        <v/>
      </c>
      <c r="AS170" s="23">
        <f>IF(X170="","",X170)</f>
        <v/>
      </c>
      <c r="AT170" s="23">
        <f>IF(Y170="","",Y170)</f>
        <v/>
      </c>
      <c r="AU170" s="10">
        <f>IF($A170="","",IF(OR(Z170=1,AR170=1,AJ170=1),"淘汰","通过"))</f>
        <v/>
      </c>
      <c r="AV170" s="10">
        <f>IF($A170="","",IF(OR(AA170=1,AR170=1,AND(AK170=1,AI170=1),AO170=1),"淘汰","通过"))</f>
        <v/>
      </c>
      <c r="AW170" s="24">
        <f>IF($A170="","",IF(AU170="淘汰","",ROUND(SUMPRODUCT(Z170:AT170,Z$2:AT$2)/5,1)))</f>
        <v/>
      </c>
      <c r="AX170" s="24">
        <f>IF($A170="","",IF(AV170="淘汰","",ROUND(SUMPRODUCT(Z170:AT170,Z$3:AT$3)/5,1)))</f>
        <v/>
      </c>
    </row>
    <row r="171" ht="15.75" customHeight="1" s="25">
      <c r="A171" s="22" t="n"/>
      <c r="B171" s="20" t="n"/>
      <c r="C171" s="22" t="n"/>
      <c r="D171" s="22" t="n"/>
      <c r="E171" s="22" t="n"/>
      <c r="F171" s="22" t="n"/>
      <c r="G171" s="21" t="n"/>
      <c r="H171" s="21" t="n"/>
      <c r="I171" s="21" t="n"/>
      <c r="J171" s="21" t="n"/>
      <c r="K171" s="21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3">
        <f>IF(E171="","",IF('分位数阈值'!$D$2="","",IFS(E171&gt;='分位数阈值'!$D$2,5,E171&gt;='分位数阈值'!$E$2,4,E171&gt;='分位数阈值'!$F$2,3,E171&gt;='分位数阈值'!$G$2,2,TRUE,1)))</f>
        <v/>
      </c>
      <c r="AA171" s="23">
        <f>IF(F171="","",IF('分位数阈值'!$D$3="","",IFS(F171&gt;='分位数阈值'!$D$3,5,F171&gt;='分位数阈值'!$E$3,4,F171&gt;='分位数阈值'!$F$3,3,F171&gt;='分位数阈值'!$G$3,2,TRUE,1)))</f>
        <v/>
      </c>
      <c r="AB171" s="23">
        <f>IF(G171="","",IF('分位数阈值'!$D$4="","",IFS(G171&gt;='分位数阈值'!$D$4,5,G171&gt;='分位数阈值'!$E$4,4,G171&gt;='分位数阈值'!$F$4,3,G171&gt;='分位数阈值'!$G$4,2,TRUE,1)))</f>
        <v/>
      </c>
      <c r="AC171" s="23">
        <f>IF(H171="","",IF('分位数阈值'!$D$5="","",IFS(H171&gt;='分位数阈值'!$D$5,5,H171&gt;='分位数阈值'!$E$5,4,H171&gt;='分位数阈值'!$F$5,3,H171&gt;='分位数阈值'!$G$5,2,TRUE,1)))</f>
        <v/>
      </c>
      <c r="AD171" s="23">
        <f>IF(I171="","",IF('分位数阈值'!$D$6="","",IFS(I171&gt;='分位数阈值'!$D$6,5,I171&gt;='分位数阈值'!$E$6,4,I171&gt;='分位数阈值'!$F$6,3,I171&gt;='分位数阈值'!$G$6,2,TRUE,1)))</f>
        <v/>
      </c>
      <c r="AE171" s="23">
        <f>IF(J171="","",IF('分位数阈值'!$D$7="","",IFS(J171&gt;='分位数阈值'!$D$7,5,J171&gt;='分位数阈值'!$E$7,4,J171&gt;='分位数阈值'!$F$7,3,J171&gt;='分位数阈值'!$G$7,2,TRUE,1)))</f>
        <v/>
      </c>
      <c r="AF171" s="23">
        <f>IF(K171="","",IF('分位数阈值'!$D$8="","",IFS(K171&gt;='分位数阈值'!$D$8,5,K171&gt;='分位数阈值'!$E$8,4,K171&gt;='分位数阈值'!$F$8,3,K171&gt;='分位数阈值'!$G$8,2,TRUE,1)))</f>
        <v/>
      </c>
      <c r="AG171" s="23">
        <f>IF(L171="","",IF('分位数阈值'!$D$9="","",IFS(L171&gt;='分位数阈值'!$D$9,5,L171&gt;='分位数阈值'!$E$9,4,L171&gt;='分位数阈值'!$F$9,3,L171&gt;='分位数阈值'!$G$9,2,TRUE,1)))</f>
        <v/>
      </c>
      <c r="AH171" s="23">
        <f>IF(M171="","",IF('分位数阈值'!$D$10="","",IFS(M171&lt;='分位数阈值'!$G$10,5,M171&lt;='分位数阈值'!$F$10,4,M171&lt;='分位数阈值'!$E$10,3,M171&lt;='分位数阈值'!$D$10,2,TRUE,1)))</f>
        <v/>
      </c>
      <c r="AI171" s="23">
        <f>IF(N171="","",IF('分位数阈值'!$D$11="","",IFS(N171&lt;='分位数阈值'!$G$11,5,N171&lt;='分位数阈值'!$F$11,4,N171&lt;='分位数阈值'!$E$11,3,N171&lt;='分位数阈值'!$D$11,2,TRUE,1)))</f>
        <v/>
      </c>
      <c r="AJ171" s="23">
        <f>IF(P171="","",IF(P171=1,1,5))</f>
        <v/>
      </c>
      <c r="AK171" s="23">
        <f>IF(Q171="","",IF(Q171=1,1,5))</f>
        <v/>
      </c>
      <c r="AL171" s="23">
        <f>IF(O171="","",IF('分位数阈值'!$D$12="","",IFS(O171&gt;='分位数阈值'!$D$12,5,O171&gt;='分位数阈值'!$E$12,4,O171&gt;='分位数阈值'!$F$12,3,O171&gt;='分位数阈值'!$G$12,2,TRUE,1)))</f>
        <v/>
      </c>
      <c r="AM171" s="23">
        <f>IF(R171="","",IF('分位数阈值'!$D$13="","",IFS(R171&lt;='分位数阈值'!$G$13,5,R171&lt;='分位数阈值'!$F$13,4,R171&lt;='分位数阈值'!$E$13,3,R171&lt;='分位数阈值'!$D$13,2,TRUE,1)))</f>
        <v/>
      </c>
      <c r="AN171" s="23">
        <f>IF(S171="","",IF('分位数阈值'!$D$14="","",IFS(S171&lt;='分位数阈值'!$G$14,5,S171&lt;='分位数阈值'!$F$14,4,S171&lt;='分位数阈值'!$E$14,3,S171&lt;='分位数阈值'!$D$14,2,TRUE,1)))</f>
        <v/>
      </c>
      <c r="AO171" s="23">
        <f>IF(T171="","",IF('分位数阈值'!$D$15="","",IFS(T171&lt;='分位数阈值'!$G$15,5,T171&lt;='分位数阈值'!$F$15,4,T171&lt;='分位数阈值'!$E$15,3,T171&lt;='分位数阈值'!$D$15,2,TRUE,1)))</f>
        <v/>
      </c>
      <c r="AP171" s="23">
        <f>IF(U171="","",IF(U171=1,5,1))</f>
        <v/>
      </c>
      <c r="AQ171" s="23">
        <f>IF(V171="","",V171)</f>
        <v/>
      </c>
      <c r="AR171" s="23">
        <f>IF(W171="","",IF('分位数阈值'!$D$16="","",IFS(W171&lt;='分位数阈值'!$G$16,5,W171&lt;='分位数阈值'!$F$16,4,W171&lt;='分位数阈值'!$E$16,3,W171&lt;='分位数阈值'!$D$16,2,TRUE,1)))</f>
        <v/>
      </c>
      <c r="AS171" s="23">
        <f>IF(X171="","",X171)</f>
        <v/>
      </c>
      <c r="AT171" s="23">
        <f>IF(Y171="","",Y171)</f>
        <v/>
      </c>
      <c r="AU171" s="10">
        <f>IF($A171="","",IF(OR(Z171=1,AR171=1,AJ171=1),"淘汰","通过"))</f>
        <v/>
      </c>
      <c r="AV171" s="10">
        <f>IF($A171="","",IF(OR(AA171=1,AR171=1,AND(AK171=1,AI171=1),AO171=1),"淘汰","通过"))</f>
        <v/>
      </c>
      <c r="AW171" s="24">
        <f>IF($A171="","",IF(AU171="淘汰","",ROUND(SUMPRODUCT(Z171:AT171,Z$2:AT$2)/5,1)))</f>
        <v/>
      </c>
      <c r="AX171" s="24">
        <f>IF($A171="","",IF(AV171="淘汰","",ROUND(SUMPRODUCT(Z171:AT171,Z$3:AT$3)/5,1)))</f>
        <v/>
      </c>
    </row>
    <row r="172" ht="15.75" customHeight="1" s="25">
      <c r="A172" s="22" t="n"/>
      <c r="B172" s="20" t="n"/>
      <c r="C172" s="22" t="n"/>
      <c r="D172" s="22" t="n"/>
      <c r="E172" s="22" t="n"/>
      <c r="F172" s="22" t="n"/>
      <c r="G172" s="21" t="n"/>
      <c r="H172" s="21" t="n"/>
      <c r="I172" s="21" t="n"/>
      <c r="J172" s="21" t="n"/>
      <c r="K172" s="21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3">
        <f>IF(E172="","",IF('分位数阈值'!$D$2="","",IFS(E172&gt;='分位数阈值'!$D$2,5,E172&gt;='分位数阈值'!$E$2,4,E172&gt;='分位数阈值'!$F$2,3,E172&gt;='分位数阈值'!$G$2,2,TRUE,1)))</f>
        <v/>
      </c>
      <c r="AA172" s="23">
        <f>IF(F172="","",IF('分位数阈值'!$D$3="","",IFS(F172&gt;='分位数阈值'!$D$3,5,F172&gt;='分位数阈值'!$E$3,4,F172&gt;='分位数阈值'!$F$3,3,F172&gt;='分位数阈值'!$G$3,2,TRUE,1)))</f>
        <v/>
      </c>
      <c r="AB172" s="23">
        <f>IF(G172="","",IF('分位数阈值'!$D$4="","",IFS(G172&gt;='分位数阈值'!$D$4,5,G172&gt;='分位数阈值'!$E$4,4,G172&gt;='分位数阈值'!$F$4,3,G172&gt;='分位数阈值'!$G$4,2,TRUE,1)))</f>
        <v/>
      </c>
      <c r="AC172" s="23">
        <f>IF(H172="","",IF('分位数阈值'!$D$5="","",IFS(H172&gt;='分位数阈值'!$D$5,5,H172&gt;='分位数阈值'!$E$5,4,H172&gt;='分位数阈值'!$F$5,3,H172&gt;='分位数阈值'!$G$5,2,TRUE,1)))</f>
        <v/>
      </c>
      <c r="AD172" s="23">
        <f>IF(I172="","",IF('分位数阈值'!$D$6="","",IFS(I172&gt;='分位数阈值'!$D$6,5,I172&gt;='分位数阈值'!$E$6,4,I172&gt;='分位数阈值'!$F$6,3,I172&gt;='分位数阈值'!$G$6,2,TRUE,1)))</f>
        <v/>
      </c>
      <c r="AE172" s="23">
        <f>IF(J172="","",IF('分位数阈值'!$D$7="","",IFS(J172&gt;='分位数阈值'!$D$7,5,J172&gt;='分位数阈值'!$E$7,4,J172&gt;='分位数阈值'!$F$7,3,J172&gt;='分位数阈值'!$G$7,2,TRUE,1)))</f>
        <v/>
      </c>
      <c r="AF172" s="23">
        <f>IF(K172="","",IF('分位数阈值'!$D$8="","",IFS(K172&gt;='分位数阈值'!$D$8,5,K172&gt;='分位数阈值'!$E$8,4,K172&gt;='分位数阈值'!$F$8,3,K172&gt;='分位数阈值'!$G$8,2,TRUE,1)))</f>
        <v/>
      </c>
      <c r="AG172" s="23">
        <f>IF(L172="","",IF('分位数阈值'!$D$9="","",IFS(L172&gt;='分位数阈值'!$D$9,5,L172&gt;='分位数阈值'!$E$9,4,L172&gt;='分位数阈值'!$F$9,3,L172&gt;='分位数阈值'!$G$9,2,TRUE,1)))</f>
        <v/>
      </c>
      <c r="AH172" s="23">
        <f>IF(M172="","",IF('分位数阈值'!$D$10="","",IFS(M172&lt;='分位数阈值'!$G$10,5,M172&lt;='分位数阈值'!$F$10,4,M172&lt;='分位数阈值'!$E$10,3,M172&lt;='分位数阈值'!$D$10,2,TRUE,1)))</f>
        <v/>
      </c>
      <c r="AI172" s="23">
        <f>IF(N172="","",IF('分位数阈值'!$D$11="","",IFS(N172&lt;='分位数阈值'!$G$11,5,N172&lt;='分位数阈值'!$F$11,4,N172&lt;='分位数阈值'!$E$11,3,N172&lt;='分位数阈值'!$D$11,2,TRUE,1)))</f>
        <v/>
      </c>
      <c r="AJ172" s="23">
        <f>IF(P172="","",IF(P172=1,1,5))</f>
        <v/>
      </c>
      <c r="AK172" s="23">
        <f>IF(Q172="","",IF(Q172=1,1,5))</f>
        <v/>
      </c>
      <c r="AL172" s="23">
        <f>IF(O172="","",IF('分位数阈值'!$D$12="","",IFS(O172&gt;='分位数阈值'!$D$12,5,O172&gt;='分位数阈值'!$E$12,4,O172&gt;='分位数阈值'!$F$12,3,O172&gt;='分位数阈值'!$G$12,2,TRUE,1)))</f>
        <v/>
      </c>
      <c r="AM172" s="23">
        <f>IF(R172="","",IF('分位数阈值'!$D$13="","",IFS(R172&lt;='分位数阈值'!$G$13,5,R172&lt;='分位数阈值'!$F$13,4,R172&lt;='分位数阈值'!$E$13,3,R172&lt;='分位数阈值'!$D$13,2,TRUE,1)))</f>
        <v/>
      </c>
      <c r="AN172" s="23">
        <f>IF(S172="","",IF('分位数阈值'!$D$14="","",IFS(S172&lt;='分位数阈值'!$G$14,5,S172&lt;='分位数阈值'!$F$14,4,S172&lt;='分位数阈值'!$E$14,3,S172&lt;='分位数阈值'!$D$14,2,TRUE,1)))</f>
        <v/>
      </c>
      <c r="AO172" s="23">
        <f>IF(T172="","",IF('分位数阈值'!$D$15="","",IFS(T172&lt;='分位数阈值'!$G$15,5,T172&lt;='分位数阈值'!$F$15,4,T172&lt;='分位数阈值'!$E$15,3,T172&lt;='分位数阈值'!$D$15,2,TRUE,1)))</f>
        <v/>
      </c>
      <c r="AP172" s="23">
        <f>IF(U172="","",IF(U172=1,5,1))</f>
        <v/>
      </c>
      <c r="AQ172" s="23">
        <f>IF(V172="","",V172)</f>
        <v/>
      </c>
      <c r="AR172" s="23">
        <f>IF(W172="","",IF('分位数阈值'!$D$16="","",IFS(W172&lt;='分位数阈值'!$G$16,5,W172&lt;='分位数阈值'!$F$16,4,W172&lt;='分位数阈值'!$E$16,3,W172&lt;='分位数阈值'!$D$16,2,TRUE,1)))</f>
        <v/>
      </c>
      <c r="AS172" s="23">
        <f>IF(X172="","",X172)</f>
        <v/>
      </c>
      <c r="AT172" s="23">
        <f>IF(Y172="","",Y172)</f>
        <v/>
      </c>
      <c r="AU172" s="10">
        <f>IF($A172="","",IF(OR(Z172=1,AR172=1,AJ172=1),"淘汰","通过"))</f>
        <v/>
      </c>
      <c r="AV172" s="10">
        <f>IF($A172="","",IF(OR(AA172=1,AR172=1,AND(AK172=1,AI172=1),AO172=1),"淘汰","通过"))</f>
        <v/>
      </c>
      <c r="AW172" s="24">
        <f>IF($A172="","",IF(AU172="淘汰","",ROUND(SUMPRODUCT(Z172:AT172,Z$2:AT$2)/5,1)))</f>
        <v/>
      </c>
      <c r="AX172" s="24">
        <f>IF($A172="","",IF(AV172="淘汰","",ROUND(SUMPRODUCT(Z172:AT172,Z$3:AT$3)/5,1)))</f>
        <v/>
      </c>
    </row>
    <row r="173" ht="15.75" customHeight="1" s="25">
      <c r="A173" s="22" t="n"/>
      <c r="B173" s="20" t="n"/>
      <c r="C173" s="22" t="n"/>
      <c r="D173" s="22" t="n"/>
      <c r="E173" s="22" t="n"/>
      <c r="F173" s="22" t="n"/>
      <c r="G173" s="21" t="n"/>
      <c r="H173" s="21" t="n"/>
      <c r="I173" s="21" t="n"/>
      <c r="J173" s="21" t="n"/>
      <c r="K173" s="21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3">
        <f>IF(E173="","",IF('分位数阈值'!$D$2="","",IFS(E173&gt;='分位数阈值'!$D$2,5,E173&gt;='分位数阈值'!$E$2,4,E173&gt;='分位数阈值'!$F$2,3,E173&gt;='分位数阈值'!$G$2,2,TRUE,1)))</f>
        <v/>
      </c>
      <c r="AA173" s="23">
        <f>IF(F173="","",IF('分位数阈值'!$D$3="","",IFS(F173&gt;='分位数阈值'!$D$3,5,F173&gt;='分位数阈值'!$E$3,4,F173&gt;='分位数阈值'!$F$3,3,F173&gt;='分位数阈值'!$G$3,2,TRUE,1)))</f>
        <v/>
      </c>
      <c r="AB173" s="23">
        <f>IF(G173="","",IF('分位数阈值'!$D$4="","",IFS(G173&gt;='分位数阈值'!$D$4,5,G173&gt;='分位数阈值'!$E$4,4,G173&gt;='分位数阈值'!$F$4,3,G173&gt;='分位数阈值'!$G$4,2,TRUE,1)))</f>
        <v/>
      </c>
      <c r="AC173" s="23">
        <f>IF(H173="","",IF('分位数阈值'!$D$5="","",IFS(H173&gt;='分位数阈值'!$D$5,5,H173&gt;='分位数阈值'!$E$5,4,H173&gt;='分位数阈值'!$F$5,3,H173&gt;='分位数阈值'!$G$5,2,TRUE,1)))</f>
        <v/>
      </c>
      <c r="AD173" s="23">
        <f>IF(I173="","",IF('分位数阈值'!$D$6="","",IFS(I173&gt;='分位数阈值'!$D$6,5,I173&gt;='分位数阈值'!$E$6,4,I173&gt;='分位数阈值'!$F$6,3,I173&gt;='分位数阈值'!$G$6,2,TRUE,1)))</f>
        <v/>
      </c>
      <c r="AE173" s="23">
        <f>IF(J173="","",IF('分位数阈值'!$D$7="","",IFS(J173&gt;='分位数阈值'!$D$7,5,J173&gt;='分位数阈值'!$E$7,4,J173&gt;='分位数阈值'!$F$7,3,J173&gt;='分位数阈值'!$G$7,2,TRUE,1)))</f>
        <v/>
      </c>
      <c r="AF173" s="23">
        <f>IF(K173="","",IF('分位数阈值'!$D$8="","",IFS(K173&gt;='分位数阈值'!$D$8,5,K173&gt;='分位数阈值'!$E$8,4,K173&gt;='分位数阈值'!$F$8,3,K173&gt;='分位数阈值'!$G$8,2,TRUE,1)))</f>
        <v/>
      </c>
      <c r="AG173" s="23">
        <f>IF(L173="","",IF('分位数阈值'!$D$9="","",IFS(L173&gt;='分位数阈值'!$D$9,5,L173&gt;='分位数阈值'!$E$9,4,L173&gt;='分位数阈值'!$F$9,3,L173&gt;='分位数阈值'!$G$9,2,TRUE,1)))</f>
        <v/>
      </c>
      <c r="AH173" s="23">
        <f>IF(M173="","",IF('分位数阈值'!$D$10="","",IFS(M173&lt;='分位数阈值'!$G$10,5,M173&lt;='分位数阈值'!$F$10,4,M173&lt;='分位数阈值'!$E$10,3,M173&lt;='分位数阈值'!$D$10,2,TRUE,1)))</f>
        <v/>
      </c>
      <c r="AI173" s="23">
        <f>IF(N173="","",IF('分位数阈值'!$D$11="","",IFS(N173&lt;='分位数阈值'!$G$11,5,N173&lt;='分位数阈值'!$F$11,4,N173&lt;='分位数阈值'!$E$11,3,N173&lt;='分位数阈值'!$D$11,2,TRUE,1)))</f>
        <v/>
      </c>
      <c r="AJ173" s="23">
        <f>IF(P173="","",IF(P173=1,1,5))</f>
        <v/>
      </c>
      <c r="AK173" s="23">
        <f>IF(Q173="","",IF(Q173=1,1,5))</f>
        <v/>
      </c>
      <c r="AL173" s="23">
        <f>IF(O173="","",IF('分位数阈值'!$D$12="","",IFS(O173&gt;='分位数阈值'!$D$12,5,O173&gt;='分位数阈值'!$E$12,4,O173&gt;='分位数阈值'!$F$12,3,O173&gt;='分位数阈值'!$G$12,2,TRUE,1)))</f>
        <v/>
      </c>
      <c r="AM173" s="23">
        <f>IF(R173="","",IF('分位数阈值'!$D$13="","",IFS(R173&lt;='分位数阈值'!$G$13,5,R173&lt;='分位数阈值'!$F$13,4,R173&lt;='分位数阈值'!$E$13,3,R173&lt;='分位数阈值'!$D$13,2,TRUE,1)))</f>
        <v/>
      </c>
      <c r="AN173" s="23">
        <f>IF(S173="","",IF('分位数阈值'!$D$14="","",IFS(S173&lt;='分位数阈值'!$G$14,5,S173&lt;='分位数阈值'!$F$14,4,S173&lt;='分位数阈值'!$E$14,3,S173&lt;='分位数阈值'!$D$14,2,TRUE,1)))</f>
        <v/>
      </c>
      <c r="AO173" s="23">
        <f>IF(T173="","",IF('分位数阈值'!$D$15="","",IFS(T173&lt;='分位数阈值'!$G$15,5,T173&lt;='分位数阈值'!$F$15,4,T173&lt;='分位数阈值'!$E$15,3,T173&lt;='分位数阈值'!$D$15,2,TRUE,1)))</f>
        <v/>
      </c>
      <c r="AP173" s="23">
        <f>IF(U173="","",IF(U173=1,5,1))</f>
        <v/>
      </c>
      <c r="AQ173" s="23">
        <f>IF(V173="","",V173)</f>
        <v/>
      </c>
      <c r="AR173" s="23">
        <f>IF(W173="","",IF('分位数阈值'!$D$16="","",IFS(W173&lt;='分位数阈值'!$G$16,5,W173&lt;='分位数阈值'!$F$16,4,W173&lt;='分位数阈值'!$E$16,3,W173&lt;='分位数阈值'!$D$16,2,TRUE,1)))</f>
        <v/>
      </c>
      <c r="AS173" s="23">
        <f>IF(X173="","",X173)</f>
        <v/>
      </c>
      <c r="AT173" s="23">
        <f>IF(Y173="","",Y173)</f>
        <v/>
      </c>
      <c r="AU173" s="10">
        <f>IF($A173="","",IF(OR(Z173=1,AR173=1,AJ173=1),"淘汰","通过"))</f>
        <v/>
      </c>
      <c r="AV173" s="10">
        <f>IF($A173="","",IF(OR(AA173=1,AR173=1,AND(AK173=1,AI173=1),AO173=1),"淘汰","通过"))</f>
        <v/>
      </c>
      <c r="AW173" s="24">
        <f>IF($A173="","",IF(AU173="淘汰","",ROUND(SUMPRODUCT(Z173:AT173,Z$2:AT$2)/5,1)))</f>
        <v/>
      </c>
      <c r="AX173" s="24">
        <f>IF($A173="","",IF(AV173="淘汰","",ROUND(SUMPRODUCT(Z173:AT173,Z$3:AT$3)/5,1)))</f>
        <v/>
      </c>
    </row>
    <row r="174" ht="15.75" customHeight="1" s="25">
      <c r="A174" s="22" t="n"/>
      <c r="B174" s="20" t="n"/>
      <c r="C174" s="22" t="n"/>
      <c r="D174" s="22" t="n"/>
      <c r="E174" s="22" t="n"/>
      <c r="F174" s="22" t="n"/>
      <c r="G174" s="21" t="n"/>
      <c r="H174" s="21" t="n"/>
      <c r="I174" s="21" t="n"/>
      <c r="J174" s="21" t="n"/>
      <c r="K174" s="21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3">
        <f>IF(E174="","",IF('分位数阈值'!$D$2="","",IFS(E174&gt;='分位数阈值'!$D$2,5,E174&gt;='分位数阈值'!$E$2,4,E174&gt;='分位数阈值'!$F$2,3,E174&gt;='分位数阈值'!$G$2,2,TRUE,1)))</f>
        <v/>
      </c>
      <c r="AA174" s="23">
        <f>IF(F174="","",IF('分位数阈值'!$D$3="","",IFS(F174&gt;='分位数阈值'!$D$3,5,F174&gt;='分位数阈值'!$E$3,4,F174&gt;='分位数阈值'!$F$3,3,F174&gt;='分位数阈值'!$G$3,2,TRUE,1)))</f>
        <v/>
      </c>
      <c r="AB174" s="23">
        <f>IF(G174="","",IF('分位数阈值'!$D$4="","",IFS(G174&gt;='分位数阈值'!$D$4,5,G174&gt;='分位数阈值'!$E$4,4,G174&gt;='分位数阈值'!$F$4,3,G174&gt;='分位数阈值'!$G$4,2,TRUE,1)))</f>
        <v/>
      </c>
      <c r="AC174" s="23">
        <f>IF(H174="","",IF('分位数阈值'!$D$5="","",IFS(H174&gt;='分位数阈值'!$D$5,5,H174&gt;='分位数阈值'!$E$5,4,H174&gt;='分位数阈值'!$F$5,3,H174&gt;='分位数阈值'!$G$5,2,TRUE,1)))</f>
        <v/>
      </c>
      <c r="AD174" s="23">
        <f>IF(I174="","",IF('分位数阈值'!$D$6="","",IFS(I174&gt;='分位数阈值'!$D$6,5,I174&gt;='分位数阈值'!$E$6,4,I174&gt;='分位数阈值'!$F$6,3,I174&gt;='分位数阈值'!$G$6,2,TRUE,1)))</f>
        <v/>
      </c>
      <c r="AE174" s="23">
        <f>IF(J174="","",IF('分位数阈值'!$D$7="","",IFS(J174&gt;='分位数阈值'!$D$7,5,J174&gt;='分位数阈值'!$E$7,4,J174&gt;='分位数阈值'!$F$7,3,J174&gt;='分位数阈值'!$G$7,2,TRUE,1)))</f>
        <v/>
      </c>
      <c r="AF174" s="23">
        <f>IF(K174="","",IF('分位数阈值'!$D$8="","",IFS(K174&gt;='分位数阈值'!$D$8,5,K174&gt;='分位数阈值'!$E$8,4,K174&gt;='分位数阈值'!$F$8,3,K174&gt;='分位数阈值'!$G$8,2,TRUE,1)))</f>
        <v/>
      </c>
      <c r="AG174" s="23">
        <f>IF(L174="","",IF('分位数阈值'!$D$9="","",IFS(L174&gt;='分位数阈值'!$D$9,5,L174&gt;='分位数阈值'!$E$9,4,L174&gt;='分位数阈值'!$F$9,3,L174&gt;='分位数阈值'!$G$9,2,TRUE,1)))</f>
        <v/>
      </c>
      <c r="AH174" s="23">
        <f>IF(M174="","",IF('分位数阈值'!$D$10="","",IFS(M174&lt;='分位数阈值'!$G$10,5,M174&lt;='分位数阈值'!$F$10,4,M174&lt;='分位数阈值'!$E$10,3,M174&lt;='分位数阈值'!$D$10,2,TRUE,1)))</f>
        <v/>
      </c>
      <c r="AI174" s="23">
        <f>IF(N174="","",IF('分位数阈值'!$D$11="","",IFS(N174&lt;='分位数阈值'!$G$11,5,N174&lt;='分位数阈值'!$F$11,4,N174&lt;='分位数阈值'!$E$11,3,N174&lt;='分位数阈值'!$D$11,2,TRUE,1)))</f>
        <v/>
      </c>
      <c r="AJ174" s="23">
        <f>IF(P174="","",IF(P174=1,1,5))</f>
        <v/>
      </c>
      <c r="AK174" s="23">
        <f>IF(Q174="","",IF(Q174=1,1,5))</f>
        <v/>
      </c>
      <c r="AL174" s="23">
        <f>IF(O174="","",IF('分位数阈值'!$D$12="","",IFS(O174&gt;='分位数阈值'!$D$12,5,O174&gt;='分位数阈值'!$E$12,4,O174&gt;='分位数阈值'!$F$12,3,O174&gt;='分位数阈值'!$G$12,2,TRUE,1)))</f>
        <v/>
      </c>
      <c r="AM174" s="23">
        <f>IF(R174="","",IF('分位数阈值'!$D$13="","",IFS(R174&lt;='分位数阈值'!$G$13,5,R174&lt;='分位数阈值'!$F$13,4,R174&lt;='分位数阈值'!$E$13,3,R174&lt;='分位数阈值'!$D$13,2,TRUE,1)))</f>
        <v/>
      </c>
      <c r="AN174" s="23">
        <f>IF(S174="","",IF('分位数阈值'!$D$14="","",IFS(S174&lt;='分位数阈值'!$G$14,5,S174&lt;='分位数阈值'!$F$14,4,S174&lt;='分位数阈值'!$E$14,3,S174&lt;='分位数阈值'!$D$14,2,TRUE,1)))</f>
        <v/>
      </c>
      <c r="AO174" s="23">
        <f>IF(T174="","",IF('分位数阈值'!$D$15="","",IFS(T174&lt;='分位数阈值'!$G$15,5,T174&lt;='分位数阈值'!$F$15,4,T174&lt;='分位数阈值'!$E$15,3,T174&lt;='分位数阈值'!$D$15,2,TRUE,1)))</f>
        <v/>
      </c>
      <c r="AP174" s="23">
        <f>IF(U174="","",IF(U174=1,5,1))</f>
        <v/>
      </c>
      <c r="AQ174" s="23">
        <f>IF(V174="","",V174)</f>
        <v/>
      </c>
      <c r="AR174" s="23">
        <f>IF(W174="","",IF('分位数阈值'!$D$16="","",IFS(W174&lt;='分位数阈值'!$G$16,5,W174&lt;='分位数阈值'!$F$16,4,W174&lt;='分位数阈值'!$E$16,3,W174&lt;='分位数阈值'!$D$16,2,TRUE,1)))</f>
        <v/>
      </c>
      <c r="AS174" s="23">
        <f>IF(X174="","",X174)</f>
        <v/>
      </c>
      <c r="AT174" s="23">
        <f>IF(Y174="","",Y174)</f>
        <v/>
      </c>
      <c r="AU174" s="10">
        <f>IF($A174="","",IF(OR(Z174=1,AR174=1,AJ174=1),"淘汰","通过"))</f>
        <v/>
      </c>
      <c r="AV174" s="10">
        <f>IF($A174="","",IF(OR(AA174=1,AR174=1,AND(AK174=1,AI174=1),AO174=1),"淘汰","通过"))</f>
        <v/>
      </c>
      <c r="AW174" s="24">
        <f>IF($A174="","",IF(AU174="淘汰","",ROUND(SUMPRODUCT(Z174:AT174,Z$2:AT$2)/5,1)))</f>
        <v/>
      </c>
      <c r="AX174" s="24">
        <f>IF($A174="","",IF(AV174="淘汰","",ROUND(SUMPRODUCT(Z174:AT174,Z$3:AT$3)/5,1)))</f>
        <v/>
      </c>
    </row>
    <row r="175" ht="15.75" customHeight="1" s="25">
      <c r="A175" s="22" t="n"/>
      <c r="B175" s="20" t="n"/>
      <c r="C175" s="22" t="n"/>
      <c r="D175" s="22" t="n"/>
      <c r="E175" s="22" t="n"/>
      <c r="F175" s="22" t="n"/>
      <c r="G175" s="21" t="n"/>
      <c r="H175" s="21" t="n"/>
      <c r="I175" s="21" t="n"/>
      <c r="J175" s="21" t="n"/>
      <c r="K175" s="21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3">
        <f>IF(E175="","",IF('分位数阈值'!$D$2="","",IFS(E175&gt;='分位数阈值'!$D$2,5,E175&gt;='分位数阈值'!$E$2,4,E175&gt;='分位数阈值'!$F$2,3,E175&gt;='分位数阈值'!$G$2,2,TRUE,1)))</f>
        <v/>
      </c>
      <c r="AA175" s="23">
        <f>IF(F175="","",IF('分位数阈值'!$D$3="","",IFS(F175&gt;='分位数阈值'!$D$3,5,F175&gt;='分位数阈值'!$E$3,4,F175&gt;='分位数阈值'!$F$3,3,F175&gt;='分位数阈值'!$G$3,2,TRUE,1)))</f>
        <v/>
      </c>
      <c r="AB175" s="23">
        <f>IF(G175="","",IF('分位数阈值'!$D$4="","",IFS(G175&gt;='分位数阈值'!$D$4,5,G175&gt;='分位数阈值'!$E$4,4,G175&gt;='分位数阈值'!$F$4,3,G175&gt;='分位数阈值'!$G$4,2,TRUE,1)))</f>
        <v/>
      </c>
      <c r="AC175" s="23">
        <f>IF(H175="","",IF('分位数阈值'!$D$5="","",IFS(H175&gt;='分位数阈值'!$D$5,5,H175&gt;='分位数阈值'!$E$5,4,H175&gt;='分位数阈值'!$F$5,3,H175&gt;='分位数阈值'!$G$5,2,TRUE,1)))</f>
        <v/>
      </c>
      <c r="AD175" s="23">
        <f>IF(I175="","",IF('分位数阈值'!$D$6="","",IFS(I175&gt;='分位数阈值'!$D$6,5,I175&gt;='分位数阈值'!$E$6,4,I175&gt;='分位数阈值'!$F$6,3,I175&gt;='分位数阈值'!$G$6,2,TRUE,1)))</f>
        <v/>
      </c>
      <c r="AE175" s="23">
        <f>IF(J175="","",IF('分位数阈值'!$D$7="","",IFS(J175&gt;='分位数阈值'!$D$7,5,J175&gt;='分位数阈值'!$E$7,4,J175&gt;='分位数阈值'!$F$7,3,J175&gt;='分位数阈值'!$G$7,2,TRUE,1)))</f>
        <v/>
      </c>
      <c r="AF175" s="23">
        <f>IF(K175="","",IF('分位数阈值'!$D$8="","",IFS(K175&gt;='分位数阈值'!$D$8,5,K175&gt;='分位数阈值'!$E$8,4,K175&gt;='分位数阈值'!$F$8,3,K175&gt;='分位数阈值'!$G$8,2,TRUE,1)))</f>
        <v/>
      </c>
      <c r="AG175" s="23">
        <f>IF(L175="","",IF('分位数阈值'!$D$9="","",IFS(L175&gt;='分位数阈值'!$D$9,5,L175&gt;='分位数阈值'!$E$9,4,L175&gt;='分位数阈值'!$F$9,3,L175&gt;='分位数阈值'!$G$9,2,TRUE,1)))</f>
        <v/>
      </c>
      <c r="AH175" s="23">
        <f>IF(M175="","",IF('分位数阈值'!$D$10="","",IFS(M175&lt;='分位数阈值'!$G$10,5,M175&lt;='分位数阈值'!$F$10,4,M175&lt;='分位数阈值'!$E$10,3,M175&lt;='分位数阈值'!$D$10,2,TRUE,1)))</f>
        <v/>
      </c>
      <c r="AI175" s="23">
        <f>IF(N175="","",IF('分位数阈值'!$D$11="","",IFS(N175&lt;='分位数阈值'!$G$11,5,N175&lt;='分位数阈值'!$F$11,4,N175&lt;='分位数阈值'!$E$11,3,N175&lt;='分位数阈值'!$D$11,2,TRUE,1)))</f>
        <v/>
      </c>
      <c r="AJ175" s="23">
        <f>IF(P175="","",IF(P175=1,1,5))</f>
        <v/>
      </c>
      <c r="AK175" s="23">
        <f>IF(Q175="","",IF(Q175=1,1,5))</f>
        <v/>
      </c>
      <c r="AL175" s="23">
        <f>IF(O175="","",IF('分位数阈值'!$D$12="","",IFS(O175&gt;='分位数阈值'!$D$12,5,O175&gt;='分位数阈值'!$E$12,4,O175&gt;='分位数阈值'!$F$12,3,O175&gt;='分位数阈值'!$G$12,2,TRUE,1)))</f>
        <v/>
      </c>
      <c r="AM175" s="23">
        <f>IF(R175="","",IF('分位数阈值'!$D$13="","",IFS(R175&lt;='分位数阈值'!$G$13,5,R175&lt;='分位数阈值'!$F$13,4,R175&lt;='分位数阈值'!$E$13,3,R175&lt;='分位数阈值'!$D$13,2,TRUE,1)))</f>
        <v/>
      </c>
      <c r="AN175" s="23">
        <f>IF(S175="","",IF('分位数阈值'!$D$14="","",IFS(S175&lt;='分位数阈值'!$G$14,5,S175&lt;='分位数阈值'!$F$14,4,S175&lt;='分位数阈值'!$E$14,3,S175&lt;='分位数阈值'!$D$14,2,TRUE,1)))</f>
        <v/>
      </c>
      <c r="AO175" s="23">
        <f>IF(T175="","",IF('分位数阈值'!$D$15="","",IFS(T175&lt;='分位数阈值'!$G$15,5,T175&lt;='分位数阈值'!$F$15,4,T175&lt;='分位数阈值'!$E$15,3,T175&lt;='分位数阈值'!$D$15,2,TRUE,1)))</f>
        <v/>
      </c>
      <c r="AP175" s="23">
        <f>IF(U175="","",IF(U175=1,5,1))</f>
        <v/>
      </c>
      <c r="AQ175" s="23">
        <f>IF(V175="","",V175)</f>
        <v/>
      </c>
      <c r="AR175" s="23">
        <f>IF(W175="","",IF('分位数阈值'!$D$16="","",IFS(W175&lt;='分位数阈值'!$G$16,5,W175&lt;='分位数阈值'!$F$16,4,W175&lt;='分位数阈值'!$E$16,3,W175&lt;='分位数阈值'!$D$16,2,TRUE,1)))</f>
        <v/>
      </c>
      <c r="AS175" s="23">
        <f>IF(X175="","",X175)</f>
        <v/>
      </c>
      <c r="AT175" s="23">
        <f>IF(Y175="","",Y175)</f>
        <v/>
      </c>
      <c r="AU175" s="10">
        <f>IF($A175="","",IF(OR(Z175=1,AR175=1,AJ175=1),"淘汰","通过"))</f>
        <v/>
      </c>
      <c r="AV175" s="10">
        <f>IF($A175="","",IF(OR(AA175=1,AR175=1,AND(AK175=1,AI175=1),AO175=1),"淘汰","通过"))</f>
        <v/>
      </c>
      <c r="AW175" s="24">
        <f>IF($A175="","",IF(AU175="淘汰","",ROUND(SUMPRODUCT(Z175:AT175,Z$2:AT$2)/5,1)))</f>
        <v/>
      </c>
      <c r="AX175" s="24">
        <f>IF($A175="","",IF(AV175="淘汰","",ROUND(SUMPRODUCT(Z175:AT175,Z$3:AT$3)/5,1)))</f>
        <v/>
      </c>
    </row>
    <row r="176" ht="15.75" customHeight="1" s="25">
      <c r="A176" s="22" t="n"/>
      <c r="B176" s="20" t="n"/>
      <c r="C176" s="22" t="n"/>
      <c r="D176" s="22" t="n"/>
      <c r="E176" s="22" t="n"/>
      <c r="F176" s="22" t="n"/>
      <c r="G176" s="21" t="n"/>
      <c r="H176" s="21" t="n"/>
      <c r="I176" s="21" t="n"/>
      <c r="J176" s="21" t="n"/>
      <c r="K176" s="21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3">
        <f>IF(E176="","",IF('分位数阈值'!$D$2="","",IFS(E176&gt;='分位数阈值'!$D$2,5,E176&gt;='分位数阈值'!$E$2,4,E176&gt;='分位数阈值'!$F$2,3,E176&gt;='分位数阈值'!$G$2,2,TRUE,1)))</f>
        <v/>
      </c>
      <c r="AA176" s="23">
        <f>IF(F176="","",IF('分位数阈值'!$D$3="","",IFS(F176&gt;='分位数阈值'!$D$3,5,F176&gt;='分位数阈值'!$E$3,4,F176&gt;='分位数阈值'!$F$3,3,F176&gt;='分位数阈值'!$G$3,2,TRUE,1)))</f>
        <v/>
      </c>
      <c r="AB176" s="23">
        <f>IF(G176="","",IF('分位数阈值'!$D$4="","",IFS(G176&gt;='分位数阈值'!$D$4,5,G176&gt;='分位数阈值'!$E$4,4,G176&gt;='分位数阈值'!$F$4,3,G176&gt;='分位数阈值'!$G$4,2,TRUE,1)))</f>
        <v/>
      </c>
      <c r="AC176" s="23">
        <f>IF(H176="","",IF('分位数阈值'!$D$5="","",IFS(H176&gt;='分位数阈值'!$D$5,5,H176&gt;='分位数阈值'!$E$5,4,H176&gt;='分位数阈值'!$F$5,3,H176&gt;='分位数阈值'!$G$5,2,TRUE,1)))</f>
        <v/>
      </c>
      <c r="AD176" s="23">
        <f>IF(I176="","",IF('分位数阈值'!$D$6="","",IFS(I176&gt;='分位数阈值'!$D$6,5,I176&gt;='分位数阈值'!$E$6,4,I176&gt;='分位数阈值'!$F$6,3,I176&gt;='分位数阈值'!$G$6,2,TRUE,1)))</f>
        <v/>
      </c>
      <c r="AE176" s="23">
        <f>IF(J176="","",IF('分位数阈值'!$D$7="","",IFS(J176&gt;='分位数阈值'!$D$7,5,J176&gt;='分位数阈值'!$E$7,4,J176&gt;='分位数阈值'!$F$7,3,J176&gt;='分位数阈值'!$G$7,2,TRUE,1)))</f>
        <v/>
      </c>
      <c r="AF176" s="23">
        <f>IF(K176="","",IF('分位数阈值'!$D$8="","",IFS(K176&gt;='分位数阈值'!$D$8,5,K176&gt;='分位数阈值'!$E$8,4,K176&gt;='分位数阈值'!$F$8,3,K176&gt;='分位数阈值'!$G$8,2,TRUE,1)))</f>
        <v/>
      </c>
      <c r="AG176" s="23">
        <f>IF(L176="","",IF('分位数阈值'!$D$9="","",IFS(L176&gt;='分位数阈值'!$D$9,5,L176&gt;='分位数阈值'!$E$9,4,L176&gt;='分位数阈值'!$F$9,3,L176&gt;='分位数阈值'!$G$9,2,TRUE,1)))</f>
        <v/>
      </c>
      <c r="AH176" s="23">
        <f>IF(M176="","",IF('分位数阈值'!$D$10="","",IFS(M176&lt;='分位数阈值'!$G$10,5,M176&lt;='分位数阈值'!$F$10,4,M176&lt;='分位数阈值'!$E$10,3,M176&lt;='分位数阈值'!$D$10,2,TRUE,1)))</f>
        <v/>
      </c>
      <c r="AI176" s="23">
        <f>IF(N176="","",IF('分位数阈值'!$D$11="","",IFS(N176&lt;='分位数阈值'!$G$11,5,N176&lt;='分位数阈值'!$F$11,4,N176&lt;='分位数阈值'!$E$11,3,N176&lt;='分位数阈值'!$D$11,2,TRUE,1)))</f>
        <v/>
      </c>
      <c r="AJ176" s="23">
        <f>IF(P176="","",IF(P176=1,1,5))</f>
        <v/>
      </c>
      <c r="AK176" s="23">
        <f>IF(Q176="","",IF(Q176=1,1,5))</f>
        <v/>
      </c>
      <c r="AL176" s="23">
        <f>IF(O176="","",IF('分位数阈值'!$D$12="","",IFS(O176&gt;='分位数阈值'!$D$12,5,O176&gt;='分位数阈值'!$E$12,4,O176&gt;='分位数阈值'!$F$12,3,O176&gt;='分位数阈值'!$G$12,2,TRUE,1)))</f>
        <v/>
      </c>
      <c r="AM176" s="23">
        <f>IF(R176="","",IF('分位数阈值'!$D$13="","",IFS(R176&lt;='分位数阈值'!$G$13,5,R176&lt;='分位数阈值'!$F$13,4,R176&lt;='分位数阈值'!$E$13,3,R176&lt;='分位数阈值'!$D$13,2,TRUE,1)))</f>
        <v/>
      </c>
      <c r="AN176" s="23">
        <f>IF(S176="","",IF('分位数阈值'!$D$14="","",IFS(S176&lt;='分位数阈值'!$G$14,5,S176&lt;='分位数阈值'!$F$14,4,S176&lt;='分位数阈值'!$E$14,3,S176&lt;='分位数阈值'!$D$14,2,TRUE,1)))</f>
        <v/>
      </c>
      <c r="AO176" s="23">
        <f>IF(T176="","",IF('分位数阈值'!$D$15="","",IFS(T176&lt;='分位数阈值'!$G$15,5,T176&lt;='分位数阈值'!$F$15,4,T176&lt;='分位数阈值'!$E$15,3,T176&lt;='分位数阈值'!$D$15,2,TRUE,1)))</f>
        <v/>
      </c>
      <c r="AP176" s="23">
        <f>IF(U176="","",IF(U176=1,5,1))</f>
        <v/>
      </c>
      <c r="AQ176" s="23">
        <f>IF(V176="","",V176)</f>
        <v/>
      </c>
      <c r="AR176" s="23">
        <f>IF(W176="","",IF('分位数阈值'!$D$16="","",IFS(W176&lt;='分位数阈值'!$G$16,5,W176&lt;='分位数阈值'!$F$16,4,W176&lt;='分位数阈值'!$E$16,3,W176&lt;='分位数阈值'!$D$16,2,TRUE,1)))</f>
        <v/>
      </c>
      <c r="AS176" s="23">
        <f>IF(X176="","",X176)</f>
        <v/>
      </c>
      <c r="AT176" s="23">
        <f>IF(Y176="","",Y176)</f>
        <v/>
      </c>
      <c r="AU176" s="10">
        <f>IF($A176="","",IF(OR(Z176=1,AR176=1,AJ176=1),"淘汰","通过"))</f>
        <v/>
      </c>
      <c r="AV176" s="10">
        <f>IF($A176="","",IF(OR(AA176=1,AR176=1,AND(AK176=1,AI176=1),AO176=1),"淘汰","通过"))</f>
        <v/>
      </c>
      <c r="AW176" s="24">
        <f>IF($A176="","",IF(AU176="淘汰","",ROUND(SUMPRODUCT(Z176:AT176,Z$2:AT$2)/5,1)))</f>
        <v/>
      </c>
      <c r="AX176" s="24">
        <f>IF($A176="","",IF(AV176="淘汰","",ROUND(SUMPRODUCT(Z176:AT176,Z$3:AT$3)/5,1)))</f>
        <v/>
      </c>
    </row>
    <row r="177" ht="15.75" customHeight="1" s="25">
      <c r="A177" s="22" t="n"/>
      <c r="B177" s="20" t="n"/>
      <c r="C177" s="22" t="n"/>
      <c r="D177" s="22" t="n"/>
      <c r="E177" s="22" t="n"/>
      <c r="F177" s="22" t="n"/>
      <c r="G177" s="21" t="n"/>
      <c r="H177" s="21" t="n"/>
      <c r="I177" s="21" t="n"/>
      <c r="J177" s="21" t="n"/>
      <c r="K177" s="21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3">
        <f>IF(E177="","",IF('分位数阈值'!$D$2="","",IFS(E177&gt;='分位数阈值'!$D$2,5,E177&gt;='分位数阈值'!$E$2,4,E177&gt;='分位数阈值'!$F$2,3,E177&gt;='分位数阈值'!$G$2,2,TRUE,1)))</f>
        <v/>
      </c>
      <c r="AA177" s="23">
        <f>IF(F177="","",IF('分位数阈值'!$D$3="","",IFS(F177&gt;='分位数阈值'!$D$3,5,F177&gt;='分位数阈值'!$E$3,4,F177&gt;='分位数阈值'!$F$3,3,F177&gt;='分位数阈值'!$G$3,2,TRUE,1)))</f>
        <v/>
      </c>
      <c r="AB177" s="23">
        <f>IF(G177="","",IF('分位数阈值'!$D$4="","",IFS(G177&gt;='分位数阈值'!$D$4,5,G177&gt;='分位数阈值'!$E$4,4,G177&gt;='分位数阈值'!$F$4,3,G177&gt;='分位数阈值'!$G$4,2,TRUE,1)))</f>
        <v/>
      </c>
      <c r="AC177" s="23">
        <f>IF(H177="","",IF('分位数阈值'!$D$5="","",IFS(H177&gt;='分位数阈值'!$D$5,5,H177&gt;='分位数阈值'!$E$5,4,H177&gt;='分位数阈值'!$F$5,3,H177&gt;='分位数阈值'!$G$5,2,TRUE,1)))</f>
        <v/>
      </c>
      <c r="AD177" s="23">
        <f>IF(I177="","",IF('分位数阈值'!$D$6="","",IFS(I177&gt;='分位数阈值'!$D$6,5,I177&gt;='分位数阈值'!$E$6,4,I177&gt;='分位数阈值'!$F$6,3,I177&gt;='分位数阈值'!$G$6,2,TRUE,1)))</f>
        <v/>
      </c>
      <c r="AE177" s="23">
        <f>IF(J177="","",IF('分位数阈值'!$D$7="","",IFS(J177&gt;='分位数阈值'!$D$7,5,J177&gt;='分位数阈值'!$E$7,4,J177&gt;='分位数阈值'!$F$7,3,J177&gt;='分位数阈值'!$G$7,2,TRUE,1)))</f>
        <v/>
      </c>
      <c r="AF177" s="23">
        <f>IF(K177="","",IF('分位数阈值'!$D$8="","",IFS(K177&gt;='分位数阈值'!$D$8,5,K177&gt;='分位数阈值'!$E$8,4,K177&gt;='分位数阈值'!$F$8,3,K177&gt;='分位数阈值'!$G$8,2,TRUE,1)))</f>
        <v/>
      </c>
      <c r="AG177" s="23">
        <f>IF(L177="","",IF('分位数阈值'!$D$9="","",IFS(L177&gt;='分位数阈值'!$D$9,5,L177&gt;='分位数阈值'!$E$9,4,L177&gt;='分位数阈值'!$F$9,3,L177&gt;='分位数阈值'!$G$9,2,TRUE,1)))</f>
        <v/>
      </c>
      <c r="AH177" s="23">
        <f>IF(M177="","",IF('分位数阈值'!$D$10="","",IFS(M177&lt;='分位数阈值'!$G$10,5,M177&lt;='分位数阈值'!$F$10,4,M177&lt;='分位数阈值'!$E$10,3,M177&lt;='分位数阈值'!$D$10,2,TRUE,1)))</f>
        <v/>
      </c>
      <c r="AI177" s="23">
        <f>IF(N177="","",IF('分位数阈值'!$D$11="","",IFS(N177&lt;='分位数阈值'!$G$11,5,N177&lt;='分位数阈值'!$F$11,4,N177&lt;='分位数阈值'!$E$11,3,N177&lt;='分位数阈值'!$D$11,2,TRUE,1)))</f>
        <v/>
      </c>
      <c r="AJ177" s="23">
        <f>IF(P177="","",IF(P177=1,1,5))</f>
        <v/>
      </c>
      <c r="AK177" s="23">
        <f>IF(Q177="","",IF(Q177=1,1,5))</f>
        <v/>
      </c>
      <c r="AL177" s="23">
        <f>IF(O177="","",IF('分位数阈值'!$D$12="","",IFS(O177&gt;='分位数阈值'!$D$12,5,O177&gt;='分位数阈值'!$E$12,4,O177&gt;='分位数阈值'!$F$12,3,O177&gt;='分位数阈值'!$G$12,2,TRUE,1)))</f>
        <v/>
      </c>
      <c r="AM177" s="23">
        <f>IF(R177="","",IF('分位数阈值'!$D$13="","",IFS(R177&lt;='分位数阈值'!$G$13,5,R177&lt;='分位数阈值'!$F$13,4,R177&lt;='分位数阈值'!$E$13,3,R177&lt;='分位数阈值'!$D$13,2,TRUE,1)))</f>
        <v/>
      </c>
      <c r="AN177" s="23">
        <f>IF(S177="","",IF('分位数阈值'!$D$14="","",IFS(S177&lt;='分位数阈值'!$G$14,5,S177&lt;='分位数阈值'!$F$14,4,S177&lt;='分位数阈值'!$E$14,3,S177&lt;='分位数阈值'!$D$14,2,TRUE,1)))</f>
        <v/>
      </c>
      <c r="AO177" s="23">
        <f>IF(T177="","",IF('分位数阈值'!$D$15="","",IFS(T177&lt;='分位数阈值'!$G$15,5,T177&lt;='分位数阈值'!$F$15,4,T177&lt;='分位数阈值'!$E$15,3,T177&lt;='分位数阈值'!$D$15,2,TRUE,1)))</f>
        <v/>
      </c>
      <c r="AP177" s="23">
        <f>IF(U177="","",IF(U177=1,5,1))</f>
        <v/>
      </c>
      <c r="AQ177" s="23">
        <f>IF(V177="","",V177)</f>
        <v/>
      </c>
      <c r="AR177" s="23">
        <f>IF(W177="","",IF('分位数阈值'!$D$16="","",IFS(W177&lt;='分位数阈值'!$G$16,5,W177&lt;='分位数阈值'!$F$16,4,W177&lt;='分位数阈值'!$E$16,3,W177&lt;='分位数阈值'!$D$16,2,TRUE,1)))</f>
        <v/>
      </c>
      <c r="AS177" s="23">
        <f>IF(X177="","",X177)</f>
        <v/>
      </c>
      <c r="AT177" s="23">
        <f>IF(Y177="","",Y177)</f>
        <v/>
      </c>
      <c r="AU177" s="10">
        <f>IF($A177="","",IF(OR(Z177=1,AR177=1,AJ177=1),"淘汰","通过"))</f>
        <v/>
      </c>
      <c r="AV177" s="10">
        <f>IF($A177="","",IF(OR(AA177=1,AR177=1,AND(AK177=1,AI177=1),AO177=1),"淘汰","通过"))</f>
        <v/>
      </c>
      <c r="AW177" s="24">
        <f>IF($A177="","",IF(AU177="淘汰","",ROUND(SUMPRODUCT(Z177:AT177,Z$2:AT$2)/5,1)))</f>
        <v/>
      </c>
      <c r="AX177" s="24">
        <f>IF($A177="","",IF(AV177="淘汰","",ROUND(SUMPRODUCT(Z177:AT177,Z$3:AT$3)/5,1)))</f>
        <v/>
      </c>
    </row>
    <row r="178" ht="15.75" customHeight="1" s="25">
      <c r="A178" s="22" t="n"/>
      <c r="B178" s="20" t="n"/>
      <c r="C178" s="22" t="n"/>
      <c r="D178" s="22" t="n"/>
      <c r="E178" s="22" t="n"/>
      <c r="F178" s="22" t="n"/>
      <c r="G178" s="21" t="n"/>
      <c r="H178" s="21" t="n"/>
      <c r="I178" s="21" t="n"/>
      <c r="J178" s="21" t="n"/>
      <c r="K178" s="21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3">
        <f>IF(E178="","",IF('分位数阈值'!$D$2="","",IFS(E178&gt;='分位数阈值'!$D$2,5,E178&gt;='分位数阈值'!$E$2,4,E178&gt;='分位数阈值'!$F$2,3,E178&gt;='分位数阈值'!$G$2,2,TRUE,1)))</f>
        <v/>
      </c>
      <c r="AA178" s="23">
        <f>IF(F178="","",IF('分位数阈值'!$D$3="","",IFS(F178&gt;='分位数阈值'!$D$3,5,F178&gt;='分位数阈值'!$E$3,4,F178&gt;='分位数阈值'!$F$3,3,F178&gt;='分位数阈值'!$G$3,2,TRUE,1)))</f>
        <v/>
      </c>
      <c r="AB178" s="23">
        <f>IF(G178="","",IF('分位数阈值'!$D$4="","",IFS(G178&gt;='分位数阈值'!$D$4,5,G178&gt;='分位数阈值'!$E$4,4,G178&gt;='分位数阈值'!$F$4,3,G178&gt;='分位数阈值'!$G$4,2,TRUE,1)))</f>
        <v/>
      </c>
      <c r="AC178" s="23">
        <f>IF(H178="","",IF('分位数阈值'!$D$5="","",IFS(H178&gt;='分位数阈值'!$D$5,5,H178&gt;='分位数阈值'!$E$5,4,H178&gt;='分位数阈值'!$F$5,3,H178&gt;='分位数阈值'!$G$5,2,TRUE,1)))</f>
        <v/>
      </c>
      <c r="AD178" s="23">
        <f>IF(I178="","",IF('分位数阈值'!$D$6="","",IFS(I178&gt;='分位数阈值'!$D$6,5,I178&gt;='分位数阈值'!$E$6,4,I178&gt;='分位数阈值'!$F$6,3,I178&gt;='分位数阈值'!$G$6,2,TRUE,1)))</f>
        <v/>
      </c>
      <c r="AE178" s="23">
        <f>IF(J178="","",IF('分位数阈值'!$D$7="","",IFS(J178&gt;='分位数阈值'!$D$7,5,J178&gt;='分位数阈值'!$E$7,4,J178&gt;='分位数阈值'!$F$7,3,J178&gt;='分位数阈值'!$G$7,2,TRUE,1)))</f>
        <v/>
      </c>
      <c r="AF178" s="23">
        <f>IF(K178="","",IF('分位数阈值'!$D$8="","",IFS(K178&gt;='分位数阈值'!$D$8,5,K178&gt;='分位数阈值'!$E$8,4,K178&gt;='分位数阈值'!$F$8,3,K178&gt;='分位数阈值'!$G$8,2,TRUE,1)))</f>
        <v/>
      </c>
      <c r="AG178" s="23">
        <f>IF(L178="","",IF('分位数阈值'!$D$9="","",IFS(L178&gt;='分位数阈值'!$D$9,5,L178&gt;='分位数阈值'!$E$9,4,L178&gt;='分位数阈值'!$F$9,3,L178&gt;='分位数阈值'!$G$9,2,TRUE,1)))</f>
        <v/>
      </c>
      <c r="AH178" s="23">
        <f>IF(M178="","",IF('分位数阈值'!$D$10="","",IFS(M178&lt;='分位数阈值'!$G$10,5,M178&lt;='分位数阈值'!$F$10,4,M178&lt;='分位数阈值'!$E$10,3,M178&lt;='分位数阈值'!$D$10,2,TRUE,1)))</f>
        <v/>
      </c>
      <c r="AI178" s="23">
        <f>IF(N178="","",IF('分位数阈值'!$D$11="","",IFS(N178&lt;='分位数阈值'!$G$11,5,N178&lt;='分位数阈值'!$F$11,4,N178&lt;='分位数阈值'!$E$11,3,N178&lt;='分位数阈值'!$D$11,2,TRUE,1)))</f>
        <v/>
      </c>
      <c r="AJ178" s="23">
        <f>IF(P178="","",IF(P178=1,1,5))</f>
        <v/>
      </c>
      <c r="AK178" s="23">
        <f>IF(Q178="","",IF(Q178=1,1,5))</f>
        <v/>
      </c>
      <c r="AL178" s="23">
        <f>IF(O178="","",IF('分位数阈值'!$D$12="","",IFS(O178&gt;='分位数阈值'!$D$12,5,O178&gt;='分位数阈值'!$E$12,4,O178&gt;='分位数阈值'!$F$12,3,O178&gt;='分位数阈值'!$G$12,2,TRUE,1)))</f>
        <v/>
      </c>
      <c r="AM178" s="23">
        <f>IF(R178="","",IF('分位数阈值'!$D$13="","",IFS(R178&lt;='分位数阈值'!$G$13,5,R178&lt;='分位数阈值'!$F$13,4,R178&lt;='分位数阈值'!$E$13,3,R178&lt;='分位数阈值'!$D$13,2,TRUE,1)))</f>
        <v/>
      </c>
      <c r="AN178" s="23">
        <f>IF(S178="","",IF('分位数阈值'!$D$14="","",IFS(S178&lt;='分位数阈值'!$G$14,5,S178&lt;='分位数阈值'!$F$14,4,S178&lt;='分位数阈值'!$E$14,3,S178&lt;='分位数阈值'!$D$14,2,TRUE,1)))</f>
        <v/>
      </c>
      <c r="AO178" s="23">
        <f>IF(T178="","",IF('分位数阈值'!$D$15="","",IFS(T178&lt;='分位数阈值'!$G$15,5,T178&lt;='分位数阈值'!$F$15,4,T178&lt;='分位数阈值'!$E$15,3,T178&lt;='分位数阈值'!$D$15,2,TRUE,1)))</f>
        <v/>
      </c>
      <c r="AP178" s="23">
        <f>IF(U178="","",IF(U178=1,5,1))</f>
        <v/>
      </c>
      <c r="AQ178" s="23">
        <f>IF(V178="","",V178)</f>
        <v/>
      </c>
      <c r="AR178" s="23">
        <f>IF(W178="","",IF('分位数阈值'!$D$16="","",IFS(W178&lt;='分位数阈值'!$G$16,5,W178&lt;='分位数阈值'!$F$16,4,W178&lt;='分位数阈值'!$E$16,3,W178&lt;='分位数阈值'!$D$16,2,TRUE,1)))</f>
        <v/>
      </c>
      <c r="AS178" s="23">
        <f>IF(X178="","",X178)</f>
        <v/>
      </c>
      <c r="AT178" s="23">
        <f>IF(Y178="","",Y178)</f>
        <v/>
      </c>
      <c r="AU178" s="10">
        <f>IF($A178="","",IF(OR(Z178=1,AR178=1,AJ178=1),"淘汰","通过"))</f>
        <v/>
      </c>
      <c r="AV178" s="10">
        <f>IF($A178="","",IF(OR(AA178=1,AR178=1,AND(AK178=1,AI178=1),AO178=1),"淘汰","通过"))</f>
        <v/>
      </c>
      <c r="AW178" s="24">
        <f>IF($A178="","",IF(AU178="淘汰","",ROUND(SUMPRODUCT(Z178:AT178,Z$2:AT$2)/5,1)))</f>
        <v/>
      </c>
      <c r="AX178" s="24">
        <f>IF($A178="","",IF(AV178="淘汰","",ROUND(SUMPRODUCT(Z178:AT178,Z$3:AT$3)/5,1)))</f>
        <v/>
      </c>
    </row>
    <row r="179" ht="15.75" customHeight="1" s="25">
      <c r="A179" s="22" t="n"/>
      <c r="B179" s="20" t="n"/>
      <c r="C179" s="22" t="n"/>
      <c r="D179" s="22" t="n"/>
      <c r="E179" s="22" t="n"/>
      <c r="F179" s="22" t="n"/>
      <c r="G179" s="21" t="n"/>
      <c r="H179" s="21" t="n"/>
      <c r="I179" s="21" t="n"/>
      <c r="J179" s="21" t="n"/>
      <c r="K179" s="21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3">
        <f>IF(E179="","",IF('分位数阈值'!$D$2="","",IFS(E179&gt;='分位数阈值'!$D$2,5,E179&gt;='分位数阈值'!$E$2,4,E179&gt;='分位数阈值'!$F$2,3,E179&gt;='分位数阈值'!$G$2,2,TRUE,1)))</f>
        <v/>
      </c>
      <c r="AA179" s="23">
        <f>IF(F179="","",IF('分位数阈值'!$D$3="","",IFS(F179&gt;='分位数阈值'!$D$3,5,F179&gt;='分位数阈值'!$E$3,4,F179&gt;='分位数阈值'!$F$3,3,F179&gt;='分位数阈值'!$G$3,2,TRUE,1)))</f>
        <v/>
      </c>
      <c r="AB179" s="23">
        <f>IF(G179="","",IF('分位数阈值'!$D$4="","",IFS(G179&gt;='分位数阈值'!$D$4,5,G179&gt;='分位数阈值'!$E$4,4,G179&gt;='分位数阈值'!$F$4,3,G179&gt;='分位数阈值'!$G$4,2,TRUE,1)))</f>
        <v/>
      </c>
      <c r="AC179" s="23">
        <f>IF(H179="","",IF('分位数阈值'!$D$5="","",IFS(H179&gt;='分位数阈值'!$D$5,5,H179&gt;='分位数阈值'!$E$5,4,H179&gt;='分位数阈值'!$F$5,3,H179&gt;='分位数阈值'!$G$5,2,TRUE,1)))</f>
        <v/>
      </c>
      <c r="AD179" s="23">
        <f>IF(I179="","",IF('分位数阈值'!$D$6="","",IFS(I179&gt;='分位数阈值'!$D$6,5,I179&gt;='分位数阈值'!$E$6,4,I179&gt;='分位数阈值'!$F$6,3,I179&gt;='分位数阈值'!$G$6,2,TRUE,1)))</f>
        <v/>
      </c>
      <c r="AE179" s="23">
        <f>IF(J179="","",IF('分位数阈值'!$D$7="","",IFS(J179&gt;='分位数阈值'!$D$7,5,J179&gt;='分位数阈值'!$E$7,4,J179&gt;='分位数阈值'!$F$7,3,J179&gt;='分位数阈值'!$G$7,2,TRUE,1)))</f>
        <v/>
      </c>
      <c r="AF179" s="23">
        <f>IF(K179="","",IF('分位数阈值'!$D$8="","",IFS(K179&gt;='分位数阈值'!$D$8,5,K179&gt;='分位数阈值'!$E$8,4,K179&gt;='分位数阈值'!$F$8,3,K179&gt;='分位数阈值'!$G$8,2,TRUE,1)))</f>
        <v/>
      </c>
      <c r="AG179" s="23">
        <f>IF(L179="","",IF('分位数阈值'!$D$9="","",IFS(L179&gt;='分位数阈值'!$D$9,5,L179&gt;='分位数阈值'!$E$9,4,L179&gt;='分位数阈值'!$F$9,3,L179&gt;='分位数阈值'!$G$9,2,TRUE,1)))</f>
        <v/>
      </c>
      <c r="AH179" s="23">
        <f>IF(M179="","",IF('分位数阈值'!$D$10="","",IFS(M179&lt;='分位数阈值'!$G$10,5,M179&lt;='分位数阈值'!$F$10,4,M179&lt;='分位数阈值'!$E$10,3,M179&lt;='分位数阈值'!$D$10,2,TRUE,1)))</f>
        <v/>
      </c>
      <c r="AI179" s="23">
        <f>IF(N179="","",IF('分位数阈值'!$D$11="","",IFS(N179&lt;='分位数阈值'!$G$11,5,N179&lt;='分位数阈值'!$F$11,4,N179&lt;='分位数阈值'!$E$11,3,N179&lt;='分位数阈值'!$D$11,2,TRUE,1)))</f>
        <v/>
      </c>
      <c r="AJ179" s="23">
        <f>IF(P179="","",IF(P179=1,1,5))</f>
        <v/>
      </c>
      <c r="AK179" s="23">
        <f>IF(Q179="","",IF(Q179=1,1,5))</f>
        <v/>
      </c>
      <c r="AL179" s="23">
        <f>IF(O179="","",IF('分位数阈值'!$D$12="","",IFS(O179&gt;='分位数阈值'!$D$12,5,O179&gt;='分位数阈值'!$E$12,4,O179&gt;='分位数阈值'!$F$12,3,O179&gt;='分位数阈值'!$G$12,2,TRUE,1)))</f>
        <v/>
      </c>
      <c r="AM179" s="23">
        <f>IF(R179="","",IF('分位数阈值'!$D$13="","",IFS(R179&lt;='分位数阈值'!$G$13,5,R179&lt;='分位数阈值'!$F$13,4,R179&lt;='分位数阈值'!$E$13,3,R179&lt;='分位数阈值'!$D$13,2,TRUE,1)))</f>
        <v/>
      </c>
      <c r="AN179" s="23">
        <f>IF(S179="","",IF('分位数阈值'!$D$14="","",IFS(S179&lt;='分位数阈值'!$G$14,5,S179&lt;='分位数阈值'!$F$14,4,S179&lt;='分位数阈值'!$E$14,3,S179&lt;='分位数阈值'!$D$14,2,TRUE,1)))</f>
        <v/>
      </c>
      <c r="AO179" s="23">
        <f>IF(T179="","",IF('分位数阈值'!$D$15="","",IFS(T179&lt;='分位数阈值'!$G$15,5,T179&lt;='分位数阈值'!$F$15,4,T179&lt;='分位数阈值'!$E$15,3,T179&lt;='分位数阈值'!$D$15,2,TRUE,1)))</f>
        <v/>
      </c>
      <c r="AP179" s="23">
        <f>IF(U179="","",IF(U179=1,5,1))</f>
        <v/>
      </c>
      <c r="AQ179" s="23">
        <f>IF(V179="","",V179)</f>
        <v/>
      </c>
      <c r="AR179" s="23">
        <f>IF(W179="","",IF('分位数阈值'!$D$16="","",IFS(W179&lt;='分位数阈值'!$G$16,5,W179&lt;='分位数阈值'!$F$16,4,W179&lt;='分位数阈值'!$E$16,3,W179&lt;='分位数阈值'!$D$16,2,TRUE,1)))</f>
        <v/>
      </c>
      <c r="AS179" s="23">
        <f>IF(X179="","",X179)</f>
        <v/>
      </c>
      <c r="AT179" s="23">
        <f>IF(Y179="","",Y179)</f>
        <v/>
      </c>
      <c r="AU179" s="10">
        <f>IF($A179="","",IF(OR(Z179=1,AR179=1,AJ179=1),"淘汰","通过"))</f>
        <v/>
      </c>
      <c r="AV179" s="10">
        <f>IF($A179="","",IF(OR(AA179=1,AR179=1,AND(AK179=1,AI179=1),AO179=1),"淘汰","通过"))</f>
        <v/>
      </c>
      <c r="AW179" s="24">
        <f>IF($A179="","",IF(AU179="淘汰","",ROUND(SUMPRODUCT(Z179:AT179,Z$2:AT$2)/5,1)))</f>
        <v/>
      </c>
      <c r="AX179" s="24">
        <f>IF($A179="","",IF(AV179="淘汰","",ROUND(SUMPRODUCT(Z179:AT179,Z$3:AT$3)/5,1)))</f>
        <v/>
      </c>
    </row>
    <row r="180" ht="15.75" customHeight="1" s="25">
      <c r="A180" s="22" t="n"/>
      <c r="B180" s="20" t="n"/>
      <c r="C180" s="22" t="n"/>
      <c r="D180" s="22" t="n"/>
      <c r="E180" s="22" t="n"/>
      <c r="F180" s="22" t="n"/>
      <c r="G180" s="21" t="n"/>
      <c r="H180" s="21" t="n"/>
      <c r="I180" s="21" t="n"/>
      <c r="J180" s="21" t="n"/>
      <c r="K180" s="21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3">
        <f>IF(E180="","",IF('分位数阈值'!$D$2="","",IFS(E180&gt;='分位数阈值'!$D$2,5,E180&gt;='分位数阈值'!$E$2,4,E180&gt;='分位数阈值'!$F$2,3,E180&gt;='分位数阈值'!$G$2,2,TRUE,1)))</f>
        <v/>
      </c>
      <c r="AA180" s="23">
        <f>IF(F180="","",IF('分位数阈值'!$D$3="","",IFS(F180&gt;='分位数阈值'!$D$3,5,F180&gt;='分位数阈值'!$E$3,4,F180&gt;='分位数阈值'!$F$3,3,F180&gt;='分位数阈值'!$G$3,2,TRUE,1)))</f>
        <v/>
      </c>
      <c r="AB180" s="23">
        <f>IF(G180="","",IF('分位数阈值'!$D$4="","",IFS(G180&gt;='分位数阈值'!$D$4,5,G180&gt;='分位数阈值'!$E$4,4,G180&gt;='分位数阈值'!$F$4,3,G180&gt;='分位数阈值'!$G$4,2,TRUE,1)))</f>
        <v/>
      </c>
      <c r="AC180" s="23">
        <f>IF(H180="","",IF('分位数阈值'!$D$5="","",IFS(H180&gt;='分位数阈值'!$D$5,5,H180&gt;='分位数阈值'!$E$5,4,H180&gt;='分位数阈值'!$F$5,3,H180&gt;='分位数阈值'!$G$5,2,TRUE,1)))</f>
        <v/>
      </c>
      <c r="AD180" s="23">
        <f>IF(I180="","",IF('分位数阈值'!$D$6="","",IFS(I180&gt;='分位数阈值'!$D$6,5,I180&gt;='分位数阈值'!$E$6,4,I180&gt;='分位数阈值'!$F$6,3,I180&gt;='分位数阈值'!$G$6,2,TRUE,1)))</f>
        <v/>
      </c>
      <c r="AE180" s="23">
        <f>IF(J180="","",IF('分位数阈值'!$D$7="","",IFS(J180&gt;='分位数阈值'!$D$7,5,J180&gt;='分位数阈值'!$E$7,4,J180&gt;='分位数阈值'!$F$7,3,J180&gt;='分位数阈值'!$G$7,2,TRUE,1)))</f>
        <v/>
      </c>
      <c r="AF180" s="23">
        <f>IF(K180="","",IF('分位数阈值'!$D$8="","",IFS(K180&gt;='分位数阈值'!$D$8,5,K180&gt;='分位数阈值'!$E$8,4,K180&gt;='分位数阈值'!$F$8,3,K180&gt;='分位数阈值'!$G$8,2,TRUE,1)))</f>
        <v/>
      </c>
      <c r="AG180" s="23">
        <f>IF(L180="","",IF('分位数阈值'!$D$9="","",IFS(L180&gt;='分位数阈值'!$D$9,5,L180&gt;='分位数阈值'!$E$9,4,L180&gt;='分位数阈值'!$F$9,3,L180&gt;='分位数阈值'!$G$9,2,TRUE,1)))</f>
        <v/>
      </c>
      <c r="AH180" s="23">
        <f>IF(M180="","",IF('分位数阈值'!$D$10="","",IFS(M180&lt;='分位数阈值'!$G$10,5,M180&lt;='分位数阈值'!$F$10,4,M180&lt;='分位数阈值'!$E$10,3,M180&lt;='分位数阈值'!$D$10,2,TRUE,1)))</f>
        <v/>
      </c>
      <c r="AI180" s="23">
        <f>IF(N180="","",IF('分位数阈值'!$D$11="","",IFS(N180&lt;='分位数阈值'!$G$11,5,N180&lt;='分位数阈值'!$F$11,4,N180&lt;='分位数阈值'!$E$11,3,N180&lt;='分位数阈值'!$D$11,2,TRUE,1)))</f>
        <v/>
      </c>
      <c r="AJ180" s="23">
        <f>IF(P180="","",IF(P180=1,1,5))</f>
        <v/>
      </c>
      <c r="AK180" s="23">
        <f>IF(Q180="","",IF(Q180=1,1,5))</f>
        <v/>
      </c>
      <c r="AL180" s="23">
        <f>IF(O180="","",IF('分位数阈值'!$D$12="","",IFS(O180&gt;='分位数阈值'!$D$12,5,O180&gt;='分位数阈值'!$E$12,4,O180&gt;='分位数阈值'!$F$12,3,O180&gt;='分位数阈值'!$G$12,2,TRUE,1)))</f>
        <v/>
      </c>
      <c r="AM180" s="23">
        <f>IF(R180="","",IF('分位数阈值'!$D$13="","",IFS(R180&lt;='分位数阈值'!$G$13,5,R180&lt;='分位数阈值'!$F$13,4,R180&lt;='分位数阈值'!$E$13,3,R180&lt;='分位数阈值'!$D$13,2,TRUE,1)))</f>
        <v/>
      </c>
      <c r="AN180" s="23">
        <f>IF(S180="","",IF('分位数阈值'!$D$14="","",IFS(S180&lt;='分位数阈值'!$G$14,5,S180&lt;='分位数阈值'!$F$14,4,S180&lt;='分位数阈值'!$E$14,3,S180&lt;='分位数阈值'!$D$14,2,TRUE,1)))</f>
        <v/>
      </c>
      <c r="AO180" s="23">
        <f>IF(T180="","",IF('分位数阈值'!$D$15="","",IFS(T180&lt;='分位数阈值'!$G$15,5,T180&lt;='分位数阈值'!$F$15,4,T180&lt;='分位数阈值'!$E$15,3,T180&lt;='分位数阈值'!$D$15,2,TRUE,1)))</f>
        <v/>
      </c>
      <c r="AP180" s="23">
        <f>IF(U180="","",IF(U180=1,5,1))</f>
        <v/>
      </c>
      <c r="AQ180" s="23">
        <f>IF(V180="","",V180)</f>
        <v/>
      </c>
      <c r="AR180" s="23">
        <f>IF(W180="","",IF('分位数阈值'!$D$16="","",IFS(W180&lt;='分位数阈值'!$G$16,5,W180&lt;='分位数阈值'!$F$16,4,W180&lt;='分位数阈值'!$E$16,3,W180&lt;='分位数阈值'!$D$16,2,TRUE,1)))</f>
        <v/>
      </c>
      <c r="AS180" s="23">
        <f>IF(X180="","",X180)</f>
        <v/>
      </c>
      <c r="AT180" s="23">
        <f>IF(Y180="","",Y180)</f>
        <v/>
      </c>
      <c r="AU180" s="10">
        <f>IF($A180="","",IF(OR(Z180=1,AR180=1,AJ180=1),"淘汰","通过"))</f>
        <v/>
      </c>
      <c r="AV180" s="10">
        <f>IF($A180="","",IF(OR(AA180=1,AR180=1,AND(AK180=1,AI180=1),AO180=1),"淘汰","通过"))</f>
        <v/>
      </c>
      <c r="AW180" s="24">
        <f>IF($A180="","",IF(AU180="淘汰","",ROUND(SUMPRODUCT(Z180:AT180,Z$2:AT$2)/5,1)))</f>
        <v/>
      </c>
      <c r="AX180" s="24">
        <f>IF($A180="","",IF(AV180="淘汰","",ROUND(SUMPRODUCT(Z180:AT180,Z$3:AT$3)/5,1)))</f>
        <v/>
      </c>
    </row>
    <row r="181" ht="15.75" customHeight="1" s="25">
      <c r="A181" s="22" t="n"/>
      <c r="B181" s="20" t="n"/>
      <c r="C181" s="22" t="n"/>
      <c r="D181" s="22" t="n"/>
      <c r="E181" s="22" t="n"/>
      <c r="F181" s="22" t="n"/>
      <c r="G181" s="21" t="n"/>
      <c r="H181" s="21" t="n"/>
      <c r="I181" s="21" t="n"/>
      <c r="J181" s="21" t="n"/>
      <c r="K181" s="21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3">
        <f>IF(E181="","",IF('分位数阈值'!$D$2="","",IFS(E181&gt;='分位数阈值'!$D$2,5,E181&gt;='分位数阈值'!$E$2,4,E181&gt;='分位数阈值'!$F$2,3,E181&gt;='分位数阈值'!$G$2,2,TRUE,1)))</f>
        <v/>
      </c>
      <c r="AA181" s="23">
        <f>IF(F181="","",IF('分位数阈值'!$D$3="","",IFS(F181&gt;='分位数阈值'!$D$3,5,F181&gt;='分位数阈值'!$E$3,4,F181&gt;='分位数阈值'!$F$3,3,F181&gt;='分位数阈值'!$G$3,2,TRUE,1)))</f>
        <v/>
      </c>
      <c r="AB181" s="23">
        <f>IF(G181="","",IF('分位数阈值'!$D$4="","",IFS(G181&gt;='分位数阈值'!$D$4,5,G181&gt;='分位数阈值'!$E$4,4,G181&gt;='分位数阈值'!$F$4,3,G181&gt;='分位数阈值'!$G$4,2,TRUE,1)))</f>
        <v/>
      </c>
      <c r="AC181" s="23">
        <f>IF(H181="","",IF('分位数阈值'!$D$5="","",IFS(H181&gt;='分位数阈值'!$D$5,5,H181&gt;='分位数阈值'!$E$5,4,H181&gt;='分位数阈值'!$F$5,3,H181&gt;='分位数阈值'!$G$5,2,TRUE,1)))</f>
        <v/>
      </c>
      <c r="AD181" s="23">
        <f>IF(I181="","",IF('分位数阈值'!$D$6="","",IFS(I181&gt;='分位数阈值'!$D$6,5,I181&gt;='分位数阈值'!$E$6,4,I181&gt;='分位数阈值'!$F$6,3,I181&gt;='分位数阈值'!$G$6,2,TRUE,1)))</f>
        <v/>
      </c>
      <c r="AE181" s="23">
        <f>IF(J181="","",IF('分位数阈值'!$D$7="","",IFS(J181&gt;='分位数阈值'!$D$7,5,J181&gt;='分位数阈值'!$E$7,4,J181&gt;='分位数阈值'!$F$7,3,J181&gt;='分位数阈值'!$G$7,2,TRUE,1)))</f>
        <v/>
      </c>
      <c r="AF181" s="23">
        <f>IF(K181="","",IF('分位数阈值'!$D$8="","",IFS(K181&gt;='分位数阈值'!$D$8,5,K181&gt;='分位数阈值'!$E$8,4,K181&gt;='分位数阈值'!$F$8,3,K181&gt;='分位数阈值'!$G$8,2,TRUE,1)))</f>
        <v/>
      </c>
      <c r="AG181" s="23">
        <f>IF(L181="","",IF('分位数阈值'!$D$9="","",IFS(L181&gt;='分位数阈值'!$D$9,5,L181&gt;='分位数阈值'!$E$9,4,L181&gt;='分位数阈值'!$F$9,3,L181&gt;='分位数阈值'!$G$9,2,TRUE,1)))</f>
        <v/>
      </c>
      <c r="AH181" s="23">
        <f>IF(M181="","",IF('分位数阈值'!$D$10="","",IFS(M181&lt;='分位数阈值'!$G$10,5,M181&lt;='分位数阈值'!$F$10,4,M181&lt;='分位数阈值'!$E$10,3,M181&lt;='分位数阈值'!$D$10,2,TRUE,1)))</f>
        <v/>
      </c>
      <c r="AI181" s="23">
        <f>IF(N181="","",IF('分位数阈值'!$D$11="","",IFS(N181&lt;='分位数阈值'!$G$11,5,N181&lt;='分位数阈值'!$F$11,4,N181&lt;='分位数阈值'!$E$11,3,N181&lt;='分位数阈值'!$D$11,2,TRUE,1)))</f>
        <v/>
      </c>
      <c r="AJ181" s="23">
        <f>IF(P181="","",IF(P181=1,1,5))</f>
        <v/>
      </c>
      <c r="AK181" s="23">
        <f>IF(Q181="","",IF(Q181=1,1,5))</f>
        <v/>
      </c>
      <c r="AL181" s="23">
        <f>IF(O181="","",IF('分位数阈值'!$D$12="","",IFS(O181&gt;='分位数阈值'!$D$12,5,O181&gt;='分位数阈值'!$E$12,4,O181&gt;='分位数阈值'!$F$12,3,O181&gt;='分位数阈值'!$G$12,2,TRUE,1)))</f>
        <v/>
      </c>
      <c r="AM181" s="23">
        <f>IF(R181="","",IF('分位数阈值'!$D$13="","",IFS(R181&lt;='分位数阈值'!$G$13,5,R181&lt;='分位数阈值'!$F$13,4,R181&lt;='分位数阈值'!$E$13,3,R181&lt;='分位数阈值'!$D$13,2,TRUE,1)))</f>
        <v/>
      </c>
      <c r="AN181" s="23">
        <f>IF(S181="","",IF('分位数阈值'!$D$14="","",IFS(S181&lt;='分位数阈值'!$G$14,5,S181&lt;='分位数阈值'!$F$14,4,S181&lt;='分位数阈值'!$E$14,3,S181&lt;='分位数阈值'!$D$14,2,TRUE,1)))</f>
        <v/>
      </c>
      <c r="AO181" s="23">
        <f>IF(T181="","",IF('分位数阈值'!$D$15="","",IFS(T181&lt;='分位数阈值'!$G$15,5,T181&lt;='分位数阈值'!$F$15,4,T181&lt;='分位数阈值'!$E$15,3,T181&lt;='分位数阈值'!$D$15,2,TRUE,1)))</f>
        <v/>
      </c>
      <c r="AP181" s="23">
        <f>IF(U181="","",IF(U181=1,5,1))</f>
        <v/>
      </c>
      <c r="AQ181" s="23">
        <f>IF(V181="","",V181)</f>
        <v/>
      </c>
      <c r="AR181" s="23">
        <f>IF(W181="","",IF('分位数阈值'!$D$16="","",IFS(W181&lt;='分位数阈值'!$G$16,5,W181&lt;='分位数阈值'!$F$16,4,W181&lt;='分位数阈值'!$E$16,3,W181&lt;='分位数阈值'!$D$16,2,TRUE,1)))</f>
        <v/>
      </c>
      <c r="AS181" s="23">
        <f>IF(X181="","",X181)</f>
        <v/>
      </c>
      <c r="AT181" s="23">
        <f>IF(Y181="","",Y181)</f>
        <v/>
      </c>
      <c r="AU181" s="10">
        <f>IF($A181="","",IF(OR(Z181=1,AR181=1,AJ181=1),"淘汰","通过"))</f>
        <v/>
      </c>
      <c r="AV181" s="10">
        <f>IF($A181="","",IF(OR(AA181=1,AR181=1,AND(AK181=1,AI181=1),AO181=1),"淘汰","通过"))</f>
        <v/>
      </c>
      <c r="AW181" s="24">
        <f>IF($A181="","",IF(AU181="淘汰","",ROUND(SUMPRODUCT(Z181:AT181,Z$2:AT$2)/5,1)))</f>
        <v/>
      </c>
      <c r="AX181" s="24">
        <f>IF($A181="","",IF(AV181="淘汰","",ROUND(SUMPRODUCT(Z181:AT181,Z$3:AT$3)/5,1)))</f>
        <v/>
      </c>
    </row>
    <row r="182" ht="15.75" customHeight="1" s="25">
      <c r="A182" s="22" t="n"/>
      <c r="B182" s="20" t="n"/>
      <c r="C182" s="22" t="n"/>
      <c r="D182" s="22" t="n"/>
      <c r="E182" s="22" t="n"/>
      <c r="F182" s="22" t="n"/>
      <c r="G182" s="21" t="n"/>
      <c r="H182" s="21" t="n"/>
      <c r="I182" s="21" t="n"/>
      <c r="J182" s="21" t="n"/>
      <c r="K182" s="21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3">
        <f>IF(E182="","",IF('分位数阈值'!$D$2="","",IFS(E182&gt;='分位数阈值'!$D$2,5,E182&gt;='分位数阈值'!$E$2,4,E182&gt;='分位数阈值'!$F$2,3,E182&gt;='分位数阈值'!$G$2,2,TRUE,1)))</f>
        <v/>
      </c>
      <c r="AA182" s="23">
        <f>IF(F182="","",IF('分位数阈值'!$D$3="","",IFS(F182&gt;='分位数阈值'!$D$3,5,F182&gt;='分位数阈值'!$E$3,4,F182&gt;='分位数阈值'!$F$3,3,F182&gt;='分位数阈值'!$G$3,2,TRUE,1)))</f>
        <v/>
      </c>
      <c r="AB182" s="23">
        <f>IF(G182="","",IF('分位数阈值'!$D$4="","",IFS(G182&gt;='分位数阈值'!$D$4,5,G182&gt;='分位数阈值'!$E$4,4,G182&gt;='分位数阈值'!$F$4,3,G182&gt;='分位数阈值'!$G$4,2,TRUE,1)))</f>
        <v/>
      </c>
      <c r="AC182" s="23">
        <f>IF(H182="","",IF('分位数阈值'!$D$5="","",IFS(H182&gt;='分位数阈值'!$D$5,5,H182&gt;='分位数阈值'!$E$5,4,H182&gt;='分位数阈值'!$F$5,3,H182&gt;='分位数阈值'!$G$5,2,TRUE,1)))</f>
        <v/>
      </c>
      <c r="AD182" s="23">
        <f>IF(I182="","",IF('分位数阈值'!$D$6="","",IFS(I182&gt;='分位数阈值'!$D$6,5,I182&gt;='分位数阈值'!$E$6,4,I182&gt;='分位数阈值'!$F$6,3,I182&gt;='分位数阈值'!$G$6,2,TRUE,1)))</f>
        <v/>
      </c>
      <c r="AE182" s="23">
        <f>IF(J182="","",IF('分位数阈值'!$D$7="","",IFS(J182&gt;='分位数阈值'!$D$7,5,J182&gt;='分位数阈值'!$E$7,4,J182&gt;='分位数阈值'!$F$7,3,J182&gt;='分位数阈值'!$G$7,2,TRUE,1)))</f>
        <v/>
      </c>
      <c r="AF182" s="23">
        <f>IF(K182="","",IF('分位数阈值'!$D$8="","",IFS(K182&gt;='分位数阈值'!$D$8,5,K182&gt;='分位数阈值'!$E$8,4,K182&gt;='分位数阈值'!$F$8,3,K182&gt;='分位数阈值'!$G$8,2,TRUE,1)))</f>
        <v/>
      </c>
      <c r="AG182" s="23">
        <f>IF(L182="","",IF('分位数阈值'!$D$9="","",IFS(L182&gt;='分位数阈值'!$D$9,5,L182&gt;='分位数阈值'!$E$9,4,L182&gt;='分位数阈值'!$F$9,3,L182&gt;='分位数阈值'!$G$9,2,TRUE,1)))</f>
        <v/>
      </c>
      <c r="AH182" s="23">
        <f>IF(M182="","",IF('分位数阈值'!$D$10="","",IFS(M182&lt;='分位数阈值'!$G$10,5,M182&lt;='分位数阈值'!$F$10,4,M182&lt;='分位数阈值'!$E$10,3,M182&lt;='分位数阈值'!$D$10,2,TRUE,1)))</f>
        <v/>
      </c>
      <c r="AI182" s="23">
        <f>IF(N182="","",IF('分位数阈值'!$D$11="","",IFS(N182&lt;='分位数阈值'!$G$11,5,N182&lt;='分位数阈值'!$F$11,4,N182&lt;='分位数阈值'!$E$11,3,N182&lt;='分位数阈值'!$D$11,2,TRUE,1)))</f>
        <v/>
      </c>
      <c r="AJ182" s="23">
        <f>IF(P182="","",IF(P182=1,1,5))</f>
        <v/>
      </c>
      <c r="AK182" s="23">
        <f>IF(Q182="","",IF(Q182=1,1,5))</f>
        <v/>
      </c>
      <c r="AL182" s="23">
        <f>IF(O182="","",IF('分位数阈值'!$D$12="","",IFS(O182&gt;='分位数阈值'!$D$12,5,O182&gt;='分位数阈值'!$E$12,4,O182&gt;='分位数阈值'!$F$12,3,O182&gt;='分位数阈值'!$G$12,2,TRUE,1)))</f>
        <v/>
      </c>
      <c r="AM182" s="23">
        <f>IF(R182="","",IF('分位数阈值'!$D$13="","",IFS(R182&lt;='分位数阈值'!$G$13,5,R182&lt;='分位数阈值'!$F$13,4,R182&lt;='分位数阈值'!$E$13,3,R182&lt;='分位数阈值'!$D$13,2,TRUE,1)))</f>
        <v/>
      </c>
      <c r="AN182" s="23">
        <f>IF(S182="","",IF('分位数阈值'!$D$14="","",IFS(S182&lt;='分位数阈值'!$G$14,5,S182&lt;='分位数阈值'!$F$14,4,S182&lt;='分位数阈值'!$E$14,3,S182&lt;='分位数阈值'!$D$14,2,TRUE,1)))</f>
        <v/>
      </c>
      <c r="AO182" s="23">
        <f>IF(T182="","",IF('分位数阈值'!$D$15="","",IFS(T182&lt;='分位数阈值'!$G$15,5,T182&lt;='分位数阈值'!$F$15,4,T182&lt;='分位数阈值'!$E$15,3,T182&lt;='分位数阈值'!$D$15,2,TRUE,1)))</f>
        <v/>
      </c>
      <c r="AP182" s="23">
        <f>IF(U182="","",IF(U182=1,5,1))</f>
        <v/>
      </c>
      <c r="AQ182" s="23">
        <f>IF(V182="","",V182)</f>
        <v/>
      </c>
      <c r="AR182" s="23">
        <f>IF(W182="","",IF('分位数阈值'!$D$16="","",IFS(W182&lt;='分位数阈值'!$G$16,5,W182&lt;='分位数阈值'!$F$16,4,W182&lt;='分位数阈值'!$E$16,3,W182&lt;='分位数阈值'!$D$16,2,TRUE,1)))</f>
        <v/>
      </c>
      <c r="AS182" s="23">
        <f>IF(X182="","",X182)</f>
        <v/>
      </c>
      <c r="AT182" s="23">
        <f>IF(Y182="","",Y182)</f>
        <v/>
      </c>
      <c r="AU182" s="10">
        <f>IF($A182="","",IF(OR(Z182=1,AR182=1,AJ182=1),"淘汰","通过"))</f>
        <v/>
      </c>
      <c r="AV182" s="10">
        <f>IF($A182="","",IF(OR(AA182=1,AR182=1,AND(AK182=1,AI182=1),AO182=1),"淘汰","通过"))</f>
        <v/>
      </c>
      <c r="AW182" s="24">
        <f>IF($A182="","",IF(AU182="淘汰","",ROUND(SUMPRODUCT(Z182:AT182,Z$2:AT$2)/5,1)))</f>
        <v/>
      </c>
      <c r="AX182" s="24">
        <f>IF($A182="","",IF(AV182="淘汰","",ROUND(SUMPRODUCT(Z182:AT182,Z$3:AT$3)/5,1)))</f>
        <v/>
      </c>
    </row>
    <row r="183" ht="15.75" customHeight="1" s="25">
      <c r="A183" s="22" t="n"/>
      <c r="B183" s="20" t="n"/>
      <c r="C183" s="22" t="n"/>
      <c r="D183" s="22" t="n"/>
      <c r="E183" s="22" t="n"/>
      <c r="F183" s="22" t="n"/>
      <c r="G183" s="21" t="n"/>
      <c r="H183" s="21" t="n"/>
      <c r="I183" s="21" t="n"/>
      <c r="J183" s="21" t="n"/>
      <c r="K183" s="21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3">
        <f>IF(E183="","",IF('分位数阈值'!$D$2="","",IFS(E183&gt;='分位数阈值'!$D$2,5,E183&gt;='分位数阈值'!$E$2,4,E183&gt;='分位数阈值'!$F$2,3,E183&gt;='分位数阈值'!$G$2,2,TRUE,1)))</f>
        <v/>
      </c>
      <c r="AA183" s="23">
        <f>IF(F183="","",IF('分位数阈值'!$D$3="","",IFS(F183&gt;='分位数阈值'!$D$3,5,F183&gt;='分位数阈值'!$E$3,4,F183&gt;='分位数阈值'!$F$3,3,F183&gt;='分位数阈值'!$G$3,2,TRUE,1)))</f>
        <v/>
      </c>
      <c r="AB183" s="23">
        <f>IF(G183="","",IF('分位数阈值'!$D$4="","",IFS(G183&gt;='分位数阈值'!$D$4,5,G183&gt;='分位数阈值'!$E$4,4,G183&gt;='分位数阈值'!$F$4,3,G183&gt;='分位数阈值'!$G$4,2,TRUE,1)))</f>
        <v/>
      </c>
      <c r="AC183" s="23">
        <f>IF(H183="","",IF('分位数阈值'!$D$5="","",IFS(H183&gt;='分位数阈值'!$D$5,5,H183&gt;='分位数阈值'!$E$5,4,H183&gt;='分位数阈值'!$F$5,3,H183&gt;='分位数阈值'!$G$5,2,TRUE,1)))</f>
        <v/>
      </c>
      <c r="AD183" s="23">
        <f>IF(I183="","",IF('分位数阈值'!$D$6="","",IFS(I183&gt;='分位数阈值'!$D$6,5,I183&gt;='分位数阈值'!$E$6,4,I183&gt;='分位数阈值'!$F$6,3,I183&gt;='分位数阈值'!$G$6,2,TRUE,1)))</f>
        <v/>
      </c>
      <c r="AE183" s="23">
        <f>IF(J183="","",IF('分位数阈值'!$D$7="","",IFS(J183&gt;='分位数阈值'!$D$7,5,J183&gt;='分位数阈值'!$E$7,4,J183&gt;='分位数阈值'!$F$7,3,J183&gt;='分位数阈值'!$G$7,2,TRUE,1)))</f>
        <v/>
      </c>
      <c r="AF183" s="23">
        <f>IF(K183="","",IF('分位数阈值'!$D$8="","",IFS(K183&gt;='分位数阈值'!$D$8,5,K183&gt;='分位数阈值'!$E$8,4,K183&gt;='分位数阈值'!$F$8,3,K183&gt;='分位数阈值'!$G$8,2,TRUE,1)))</f>
        <v/>
      </c>
      <c r="AG183" s="23">
        <f>IF(L183="","",IF('分位数阈值'!$D$9="","",IFS(L183&gt;='分位数阈值'!$D$9,5,L183&gt;='分位数阈值'!$E$9,4,L183&gt;='分位数阈值'!$F$9,3,L183&gt;='分位数阈值'!$G$9,2,TRUE,1)))</f>
        <v/>
      </c>
      <c r="AH183" s="23">
        <f>IF(M183="","",IF('分位数阈值'!$D$10="","",IFS(M183&lt;='分位数阈值'!$G$10,5,M183&lt;='分位数阈值'!$F$10,4,M183&lt;='分位数阈值'!$E$10,3,M183&lt;='分位数阈值'!$D$10,2,TRUE,1)))</f>
        <v/>
      </c>
      <c r="AI183" s="23">
        <f>IF(N183="","",IF('分位数阈值'!$D$11="","",IFS(N183&lt;='分位数阈值'!$G$11,5,N183&lt;='分位数阈值'!$F$11,4,N183&lt;='分位数阈值'!$E$11,3,N183&lt;='分位数阈值'!$D$11,2,TRUE,1)))</f>
        <v/>
      </c>
      <c r="AJ183" s="23">
        <f>IF(P183="","",IF(P183=1,1,5))</f>
        <v/>
      </c>
      <c r="AK183" s="23">
        <f>IF(Q183="","",IF(Q183=1,1,5))</f>
        <v/>
      </c>
      <c r="AL183" s="23">
        <f>IF(O183="","",IF('分位数阈值'!$D$12="","",IFS(O183&gt;='分位数阈值'!$D$12,5,O183&gt;='分位数阈值'!$E$12,4,O183&gt;='分位数阈值'!$F$12,3,O183&gt;='分位数阈值'!$G$12,2,TRUE,1)))</f>
        <v/>
      </c>
      <c r="AM183" s="23">
        <f>IF(R183="","",IF('分位数阈值'!$D$13="","",IFS(R183&lt;='分位数阈值'!$G$13,5,R183&lt;='分位数阈值'!$F$13,4,R183&lt;='分位数阈值'!$E$13,3,R183&lt;='分位数阈值'!$D$13,2,TRUE,1)))</f>
        <v/>
      </c>
      <c r="AN183" s="23">
        <f>IF(S183="","",IF('分位数阈值'!$D$14="","",IFS(S183&lt;='分位数阈值'!$G$14,5,S183&lt;='分位数阈值'!$F$14,4,S183&lt;='分位数阈值'!$E$14,3,S183&lt;='分位数阈值'!$D$14,2,TRUE,1)))</f>
        <v/>
      </c>
      <c r="AO183" s="23">
        <f>IF(T183="","",IF('分位数阈值'!$D$15="","",IFS(T183&lt;='分位数阈值'!$G$15,5,T183&lt;='分位数阈值'!$F$15,4,T183&lt;='分位数阈值'!$E$15,3,T183&lt;='分位数阈值'!$D$15,2,TRUE,1)))</f>
        <v/>
      </c>
      <c r="AP183" s="23">
        <f>IF(U183="","",IF(U183=1,5,1))</f>
        <v/>
      </c>
      <c r="AQ183" s="23">
        <f>IF(V183="","",V183)</f>
        <v/>
      </c>
      <c r="AR183" s="23">
        <f>IF(W183="","",IF('分位数阈值'!$D$16="","",IFS(W183&lt;='分位数阈值'!$G$16,5,W183&lt;='分位数阈值'!$F$16,4,W183&lt;='分位数阈值'!$E$16,3,W183&lt;='分位数阈值'!$D$16,2,TRUE,1)))</f>
        <v/>
      </c>
      <c r="AS183" s="23">
        <f>IF(X183="","",X183)</f>
        <v/>
      </c>
      <c r="AT183" s="23">
        <f>IF(Y183="","",Y183)</f>
        <v/>
      </c>
      <c r="AU183" s="10">
        <f>IF($A183="","",IF(OR(Z183=1,AR183=1,AJ183=1),"淘汰","通过"))</f>
        <v/>
      </c>
      <c r="AV183" s="10">
        <f>IF($A183="","",IF(OR(AA183=1,AR183=1,AND(AK183=1,AI183=1),AO183=1),"淘汰","通过"))</f>
        <v/>
      </c>
      <c r="AW183" s="24">
        <f>IF($A183="","",IF(AU183="淘汰","",ROUND(SUMPRODUCT(Z183:AT183,Z$2:AT$2)/5,1)))</f>
        <v/>
      </c>
      <c r="AX183" s="24">
        <f>IF($A183="","",IF(AV183="淘汰","",ROUND(SUMPRODUCT(Z183:AT183,Z$3:AT$3)/5,1)))</f>
        <v/>
      </c>
    </row>
    <row r="184" ht="15.75" customHeight="1" s="25">
      <c r="A184" s="22" t="n"/>
      <c r="B184" s="20" t="n"/>
      <c r="C184" s="22" t="n"/>
      <c r="D184" s="22" t="n"/>
      <c r="E184" s="22" t="n"/>
      <c r="F184" s="22" t="n"/>
      <c r="G184" s="21" t="n"/>
      <c r="H184" s="21" t="n"/>
      <c r="I184" s="21" t="n"/>
      <c r="J184" s="21" t="n"/>
      <c r="K184" s="21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3">
        <f>IF(E184="","",IF('分位数阈值'!$D$2="","",IFS(E184&gt;='分位数阈值'!$D$2,5,E184&gt;='分位数阈值'!$E$2,4,E184&gt;='分位数阈值'!$F$2,3,E184&gt;='分位数阈值'!$G$2,2,TRUE,1)))</f>
        <v/>
      </c>
      <c r="AA184" s="23">
        <f>IF(F184="","",IF('分位数阈值'!$D$3="","",IFS(F184&gt;='分位数阈值'!$D$3,5,F184&gt;='分位数阈值'!$E$3,4,F184&gt;='分位数阈值'!$F$3,3,F184&gt;='分位数阈值'!$G$3,2,TRUE,1)))</f>
        <v/>
      </c>
      <c r="AB184" s="23">
        <f>IF(G184="","",IF('分位数阈值'!$D$4="","",IFS(G184&gt;='分位数阈值'!$D$4,5,G184&gt;='分位数阈值'!$E$4,4,G184&gt;='分位数阈值'!$F$4,3,G184&gt;='分位数阈值'!$G$4,2,TRUE,1)))</f>
        <v/>
      </c>
      <c r="AC184" s="23">
        <f>IF(H184="","",IF('分位数阈值'!$D$5="","",IFS(H184&gt;='分位数阈值'!$D$5,5,H184&gt;='分位数阈值'!$E$5,4,H184&gt;='分位数阈值'!$F$5,3,H184&gt;='分位数阈值'!$G$5,2,TRUE,1)))</f>
        <v/>
      </c>
      <c r="AD184" s="23">
        <f>IF(I184="","",IF('分位数阈值'!$D$6="","",IFS(I184&gt;='分位数阈值'!$D$6,5,I184&gt;='分位数阈值'!$E$6,4,I184&gt;='分位数阈值'!$F$6,3,I184&gt;='分位数阈值'!$G$6,2,TRUE,1)))</f>
        <v/>
      </c>
      <c r="AE184" s="23">
        <f>IF(J184="","",IF('分位数阈值'!$D$7="","",IFS(J184&gt;='分位数阈值'!$D$7,5,J184&gt;='分位数阈值'!$E$7,4,J184&gt;='分位数阈值'!$F$7,3,J184&gt;='分位数阈值'!$G$7,2,TRUE,1)))</f>
        <v/>
      </c>
      <c r="AF184" s="23">
        <f>IF(K184="","",IF('分位数阈值'!$D$8="","",IFS(K184&gt;='分位数阈值'!$D$8,5,K184&gt;='分位数阈值'!$E$8,4,K184&gt;='分位数阈值'!$F$8,3,K184&gt;='分位数阈值'!$G$8,2,TRUE,1)))</f>
        <v/>
      </c>
      <c r="AG184" s="23">
        <f>IF(L184="","",IF('分位数阈值'!$D$9="","",IFS(L184&gt;='分位数阈值'!$D$9,5,L184&gt;='分位数阈值'!$E$9,4,L184&gt;='分位数阈值'!$F$9,3,L184&gt;='分位数阈值'!$G$9,2,TRUE,1)))</f>
        <v/>
      </c>
      <c r="AH184" s="23">
        <f>IF(M184="","",IF('分位数阈值'!$D$10="","",IFS(M184&lt;='分位数阈值'!$G$10,5,M184&lt;='分位数阈值'!$F$10,4,M184&lt;='分位数阈值'!$E$10,3,M184&lt;='分位数阈值'!$D$10,2,TRUE,1)))</f>
        <v/>
      </c>
      <c r="AI184" s="23">
        <f>IF(N184="","",IF('分位数阈值'!$D$11="","",IFS(N184&lt;='分位数阈值'!$G$11,5,N184&lt;='分位数阈值'!$F$11,4,N184&lt;='分位数阈值'!$E$11,3,N184&lt;='分位数阈值'!$D$11,2,TRUE,1)))</f>
        <v/>
      </c>
      <c r="AJ184" s="23">
        <f>IF(P184="","",IF(P184=1,1,5))</f>
        <v/>
      </c>
      <c r="AK184" s="23">
        <f>IF(Q184="","",IF(Q184=1,1,5))</f>
        <v/>
      </c>
      <c r="AL184" s="23">
        <f>IF(O184="","",IF('分位数阈值'!$D$12="","",IFS(O184&gt;='分位数阈值'!$D$12,5,O184&gt;='分位数阈值'!$E$12,4,O184&gt;='分位数阈值'!$F$12,3,O184&gt;='分位数阈值'!$G$12,2,TRUE,1)))</f>
        <v/>
      </c>
      <c r="AM184" s="23">
        <f>IF(R184="","",IF('分位数阈值'!$D$13="","",IFS(R184&lt;='分位数阈值'!$G$13,5,R184&lt;='分位数阈值'!$F$13,4,R184&lt;='分位数阈值'!$E$13,3,R184&lt;='分位数阈值'!$D$13,2,TRUE,1)))</f>
        <v/>
      </c>
      <c r="AN184" s="23">
        <f>IF(S184="","",IF('分位数阈值'!$D$14="","",IFS(S184&lt;='分位数阈值'!$G$14,5,S184&lt;='分位数阈值'!$F$14,4,S184&lt;='分位数阈值'!$E$14,3,S184&lt;='分位数阈值'!$D$14,2,TRUE,1)))</f>
        <v/>
      </c>
      <c r="AO184" s="23">
        <f>IF(T184="","",IF('分位数阈值'!$D$15="","",IFS(T184&lt;='分位数阈值'!$G$15,5,T184&lt;='分位数阈值'!$F$15,4,T184&lt;='分位数阈值'!$E$15,3,T184&lt;='分位数阈值'!$D$15,2,TRUE,1)))</f>
        <v/>
      </c>
      <c r="AP184" s="23">
        <f>IF(U184="","",IF(U184=1,5,1))</f>
        <v/>
      </c>
      <c r="AQ184" s="23">
        <f>IF(V184="","",V184)</f>
        <v/>
      </c>
      <c r="AR184" s="23">
        <f>IF(W184="","",IF('分位数阈值'!$D$16="","",IFS(W184&lt;='分位数阈值'!$G$16,5,W184&lt;='分位数阈值'!$F$16,4,W184&lt;='分位数阈值'!$E$16,3,W184&lt;='分位数阈值'!$D$16,2,TRUE,1)))</f>
        <v/>
      </c>
      <c r="AS184" s="23">
        <f>IF(X184="","",X184)</f>
        <v/>
      </c>
      <c r="AT184" s="23">
        <f>IF(Y184="","",Y184)</f>
        <v/>
      </c>
      <c r="AU184" s="10">
        <f>IF($A184="","",IF(OR(Z184=1,AR184=1,AJ184=1),"淘汰","通过"))</f>
        <v/>
      </c>
      <c r="AV184" s="10">
        <f>IF($A184="","",IF(OR(AA184=1,AR184=1,AND(AK184=1,AI184=1),AO184=1),"淘汰","通过"))</f>
        <v/>
      </c>
      <c r="AW184" s="24">
        <f>IF($A184="","",IF(AU184="淘汰","",ROUND(SUMPRODUCT(Z184:AT184,Z$2:AT$2)/5,1)))</f>
        <v/>
      </c>
      <c r="AX184" s="24">
        <f>IF($A184="","",IF(AV184="淘汰","",ROUND(SUMPRODUCT(Z184:AT184,Z$3:AT$3)/5,1)))</f>
        <v/>
      </c>
    </row>
    <row r="185" ht="15.75" customHeight="1" s="25">
      <c r="A185" s="22" t="n"/>
      <c r="B185" s="20" t="n"/>
      <c r="C185" s="22" t="n"/>
      <c r="D185" s="22" t="n"/>
      <c r="E185" s="22" t="n"/>
      <c r="F185" s="22" t="n"/>
      <c r="G185" s="21" t="n"/>
      <c r="H185" s="21" t="n"/>
      <c r="I185" s="21" t="n"/>
      <c r="J185" s="21" t="n"/>
      <c r="K185" s="21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3">
        <f>IF(E185="","",IF('分位数阈值'!$D$2="","",IFS(E185&gt;='分位数阈值'!$D$2,5,E185&gt;='分位数阈值'!$E$2,4,E185&gt;='分位数阈值'!$F$2,3,E185&gt;='分位数阈值'!$G$2,2,TRUE,1)))</f>
        <v/>
      </c>
      <c r="AA185" s="23">
        <f>IF(F185="","",IF('分位数阈值'!$D$3="","",IFS(F185&gt;='分位数阈值'!$D$3,5,F185&gt;='分位数阈值'!$E$3,4,F185&gt;='分位数阈值'!$F$3,3,F185&gt;='分位数阈值'!$G$3,2,TRUE,1)))</f>
        <v/>
      </c>
      <c r="AB185" s="23">
        <f>IF(G185="","",IF('分位数阈值'!$D$4="","",IFS(G185&gt;='分位数阈值'!$D$4,5,G185&gt;='分位数阈值'!$E$4,4,G185&gt;='分位数阈值'!$F$4,3,G185&gt;='分位数阈值'!$G$4,2,TRUE,1)))</f>
        <v/>
      </c>
      <c r="AC185" s="23">
        <f>IF(H185="","",IF('分位数阈值'!$D$5="","",IFS(H185&gt;='分位数阈值'!$D$5,5,H185&gt;='分位数阈值'!$E$5,4,H185&gt;='分位数阈值'!$F$5,3,H185&gt;='分位数阈值'!$G$5,2,TRUE,1)))</f>
        <v/>
      </c>
      <c r="AD185" s="23">
        <f>IF(I185="","",IF('分位数阈值'!$D$6="","",IFS(I185&gt;='分位数阈值'!$D$6,5,I185&gt;='分位数阈值'!$E$6,4,I185&gt;='分位数阈值'!$F$6,3,I185&gt;='分位数阈值'!$G$6,2,TRUE,1)))</f>
        <v/>
      </c>
      <c r="AE185" s="23">
        <f>IF(J185="","",IF('分位数阈值'!$D$7="","",IFS(J185&gt;='分位数阈值'!$D$7,5,J185&gt;='分位数阈值'!$E$7,4,J185&gt;='分位数阈值'!$F$7,3,J185&gt;='分位数阈值'!$G$7,2,TRUE,1)))</f>
        <v/>
      </c>
      <c r="AF185" s="23">
        <f>IF(K185="","",IF('分位数阈值'!$D$8="","",IFS(K185&gt;='分位数阈值'!$D$8,5,K185&gt;='分位数阈值'!$E$8,4,K185&gt;='分位数阈值'!$F$8,3,K185&gt;='分位数阈值'!$G$8,2,TRUE,1)))</f>
        <v/>
      </c>
      <c r="AG185" s="23">
        <f>IF(L185="","",IF('分位数阈值'!$D$9="","",IFS(L185&gt;='分位数阈值'!$D$9,5,L185&gt;='分位数阈值'!$E$9,4,L185&gt;='分位数阈值'!$F$9,3,L185&gt;='分位数阈值'!$G$9,2,TRUE,1)))</f>
        <v/>
      </c>
      <c r="AH185" s="23">
        <f>IF(M185="","",IF('分位数阈值'!$D$10="","",IFS(M185&lt;='分位数阈值'!$G$10,5,M185&lt;='分位数阈值'!$F$10,4,M185&lt;='分位数阈值'!$E$10,3,M185&lt;='分位数阈值'!$D$10,2,TRUE,1)))</f>
        <v/>
      </c>
      <c r="AI185" s="23">
        <f>IF(N185="","",IF('分位数阈值'!$D$11="","",IFS(N185&lt;='分位数阈值'!$G$11,5,N185&lt;='分位数阈值'!$F$11,4,N185&lt;='分位数阈值'!$E$11,3,N185&lt;='分位数阈值'!$D$11,2,TRUE,1)))</f>
        <v/>
      </c>
      <c r="AJ185" s="23">
        <f>IF(P185="","",IF(P185=1,1,5))</f>
        <v/>
      </c>
      <c r="AK185" s="23">
        <f>IF(Q185="","",IF(Q185=1,1,5))</f>
        <v/>
      </c>
      <c r="AL185" s="23">
        <f>IF(O185="","",IF('分位数阈值'!$D$12="","",IFS(O185&gt;='分位数阈值'!$D$12,5,O185&gt;='分位数阈值'!$E$12,4,O185&gt;='分位数阈值'!$F$12,3,O185&gt;='分位数阈值'!$G$12,2,TRUE,1)))</f>
        <v/>
      </c>
      <c r="AM185" s="23">
        <f>IF(R185="","",IF('分位数阈值'!$D$13="","",IFS(R185&lt;='分位数阈值'!$G$13,5,R185&lt;='分位数阈值'!$F$13,4,R185&lt;='分位数阈值'!$E$13,3,R185&lt;='分位数阈值'!$D$13,2,TRUE,1)))</f>
        <v/>
      </c>
      <c r="AN185" s="23">
        <f>IF(S185="","",IF('分位数阈值'!$D$14="","",IFS(S185&lt;='分位数阈值'!$G$14,5,S185&lt;='分位数阈值'!$F$14,4,S185&lt;='分位数阈值'!$E$14,3,S185&lt;='分位数阈值'!$D$14,2,TRUE,1)))</f>
        <v/>
      </c>
      <c r="AO185" s="23">
        <f>IF(T185="","",IF('分位数阈值'!$D$15="","",IFS(T185&lt;='分位数阈值'!$G$15,5,T185&lt;='分位数阈值'!$F$15,4,T185&lt;='分位数阈值'!$E$15,3,T185&lt;='分位数阈值'!$D$15,2,TRUE,1)))</f>
        <v/>
      </c>
      <c r="AP185" s="23">
        <f>IF(U185="","",IF(U185=1,5,1))</f>
        <v/>
      </c>
      <c r="AQ185" s="23">
        <f>IF(V185="","",V185)</f>
        <v/>
      </c>
      <c r="AR185" s="23">
        <f>IF(W185="","",IF('分位数阈值'!$D$16="","",IFS(W185&lt;='分位数阈值'!$G$16,5,W185&lt;='分位数阈值'!$F$16,4,W185&lt;='分位数阈值'!$E$16,3,W185&lt;='分位数阈值'!$D$16,2,TRUE,1)))</f>
        <v/>
      </c>
      <c r="AS185" s="23">
        <f>IF(X185="","",X185)</f>
        <v/>
      </c>
      <c r="AT185" s="23">
        <f>IF(Y185="","",Y185)</f>
        <v/>
      </c>
      <c r="AU185" s="10">
        <f>IF($A185="","",IF(OR(Z185=1,AR185=1,AJ185=1),"淘汰","通过"))</f>
        <v/>
      </c>
      <c r="AV185" s="10">
        <f>IF($A185="","",IF(OR(AA185=1,AR185=1,AND(AK185=1,AI185=1),AO185=1),"淘汰","通过"))</f>
        <v/>
      </c>
      <c r="AW185" s="24">
        <f>IF($A185="","",IF(AU185="淘汰","",ROUND(SUMPRODUCT(Z185:AT185,Z$2:AT$2)/5,1)))</f>
        <v/>
      </c>
      <c r="AX185" s="24">
        <f>IF($A185="","",IF(AV185="淘汰","",ROUND(SUMPRODUCT(Z185:AT185,Z$3:AT$3)/5,1)))</f>
        <v/>
      </c>
    </row>
    <row r="186" ht="15.75" customHeight="1" s="25">
      <c r="A186" s="22" t="n"/>
      <c r="B186" s="20" t="n"/>
      <c r="C186" s="22" t="n"/>
      <c r="D186" s="22" t="n"/>
      <c r="E186" s="22" t="n"/>
      <c r="F186" s="22" t="n"/>
      <c r="G186" s="21" t="n"/>
      <c r="H186" s="21" t="n"/>
      <c r="I186" s="21" t="n"/>
      <c r="J186" s="21" t="n"/>
      <c r="K186" s="21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3">
        <f>IF(E186="","",IF('分位数阈值'!$D$2="","",IFS(E186&gt;='分位数阈值'!$D$2,5,E186&gt;='分位数阈值'!$E$2,4,E186&gt;='分位数阈值'!$F$2,3,E186&gt;='分位数阈值'!$G$2,2,TRUE,1)))</f>
        <v/>
      </c>
      <c r="AA186" s="23">
        <f>IF(F186="","",IF('分位数阈值'!$D$3="","",IFS(F186&gt;='分位数阈值'!$D$3,5,F186&gt;='分位数阈值'!$E$3,4,F186&gt;='分位数阈值'!$F$3,3,F186&gt;='分位数阈值'!$G$3,2,TRUE,1)))</f>
        <v/>
      </c>
      <c r="AB186" s="23">
        <f>IF(G186="","",IF('分位数阈值'!$D$4="","",IFS(G186&gt;='分位数阈值'!$D$4,5,G186&gt;='分位数阈值'!$E$4,4,G186&gt;='分位数阈值'!$F$4,3,G186&gt;='分位数阈值'!$G$4,2,TRUE,1)))</f>
        <v/>
      </c>
      <c r="AC186" s="23">
        <f>IF(H186="","",IF('分位数阈值'!$D$5="","",IFS(H186&gt;='分位数阈值'!$D$5,5,H186&gt;='分位数阈值'!$E$5,4,H186&gt;='分位数阈值'!$F$5,3,H186&gt;='分位数阈值'!$G$5,2,TRUE,1)))</f>
        <v/>
      </c>
      <c r="AD186" s="23">
        <f>IF(I186="","",IF('分位数阈值'!$D$6="","",IFS(I186&gt;='分位数阈值'!$D$6,5,I186&gt;='分位数阈值'!$E$6,4,I186&gt;='分位数阈值'!$F$6,3,I186&gt;='分位数阈值'!$G$6,2,TRUE,1)))</f>
        <v/>
      </c>
      <c r="AE186" s="23">
        <f>IF(J186="","",IF('分位数阈值'!$D$7="","",IFS(J186&gt;='分位数阈值'!$D$7,5,J186&gt;='分位数阈值'!$E$7,4,J186&gt;='分位数阈值'!$F$7,3,J186&gt;='分位数阈值'!$G$7,2,TRUE,1)))</f>
        <v/>
      </c>
      <c r="AF186" s="23">
        <f>IF(K186="","",IF('分位数阈值'!$D$8="","",IFS(K186&gt;='分位数阈值'!$D$8,5,K186&gt;='分位数阈值'!$E$8,4,K186&gt;='分位数阈值'!$F$8,3,K186&gt;='分位数阈值'!$G$8,2,TRUE,1)))</f>
        <v/>
      </c>
      <c r="AG186" s="23">
        <f>IF(L186="","",IF('分位数阈值'!$D$9="","",IFS(L186&gt;='分位数阈值'!$D$9,5,L186&gt;='分位数阈值'!$E$9,4,L186&gt;='分位数阈值'!$F$9,3,L186&gt;='分位数阈值'!$G$9,2,TRUE,1)))</f>
        <v/>
      </c>
      <c r="AH186" s="23">
        <f>IF(M186="","",IF('分位数阈值'!$D$10="","",IFS(M186&lt;='分位数阈值'!$G$10,5,M186&lt;='分位数阈值'!$F$10,4,M186&lt;='分位数阈值'!$E$10,3,M186&lt;='分位数阈值'!$D$10,2,TRUE,1)))</f>
        <v/>
      </c>
      <c r="AI186" s="23">
        <f>IF(N186="","",IF('分位数阈值'!$D$11="","",IFS(N186&lt;='分位数阈值'!$G$11,5,N186&lt;='分位数阈值'!$F$11,4,N186&lt;='分位数阈值'!$E$11,3,N186&lt;='分位数阈值'!$D$11,2,TRUE,1)))</f>
        <v/>
      </c>
      <c r="AJ186" s="23">
        <f>IF(P186="","",IF(P186=1,1,5))</f>
        <v/>
      </c>
      <c r="AK186" s="23">
        <f>IF(Q186="","",IF(Q186=1,1,5))</f>
        <v/>
      </c>
      <c r="AL186" s="23">
        <f>IF(O186="","",IF('分位数阈值'!$D$12="","",IFS(O186&gt;='分位数阈值'!$D$12,5,O186&gt;='分位数阈值'!$E$12,4,O186&gt;='分位数阈值'!$F$12,3,O186&gt;='分位数阈值'!$G$12,2,TRUE,1)))</f>
        <v/>
      </c>
      <c r="AM186" s="23">
        <f>IF(R186="","",IF('分位数阈值'!$D$13="","",IFS(R186&lt;='分位数阈值'!$G$13,5,R186&lt;='分位数阈值'!$F$13,4,R186&lt;='分位数阈值'!$E$13,3,R186&lt;='分位数阈值'!$D$13,2,TRUE,1)))</f>
        <v/>
      </c>
      <c r="AN186" s="23">
        <f>IF(S186="","",IF('分位数阈值'!$D$14="","",IFS(S186&lt;='分位数阈值'!$G$14,5,S186&lt;='分位数阈值'!$F$14,4,S186&lt;='分位数阈值'!$E$14,3,S186&lt;='分位数阈值'!$D$14,2,TRUE,1)))</f>
        <v/>
      </c>
      <c r="AO186" s="23">
        <f>IF(T186="","",IF('分位数阈值'!$D$15="","",IFS(T186&lt;='分位数阈值'!$G$15,5,T186&lt;='分位数阈值'!$F$15,4,T186&lt;='分位数阈值'!$E$15,3,T186&lt;='分位数阈值'!$D$15,2,TRUE,1)))</f>
        <v/>
      </c>
      <c r="AP186" s="23">
        <f>IF(U186="","",IF(U186=1,5,1))</f>
        <v/>
      </c>
      <c r="AQ186" s="23">
        <f>IF(V186="","",V186)</f>
        <v/>
      </c>
      <c r="AR186" s="23">
        <f>IF(W186="","",IF('分位数阈值'!$D$16="","",IFS(W186&lt;='分位数阈值'!$G$16,5,W186&lt;='分位数阈值'!$F$16,4,W186&lt;='分位数阈值'!$E$16,3,W186&lt;='分位数阈值'!$D$16,2,TRUE,1)))</f>
        <v/>
      </c>
      <c r="AS186" s="23">
        <f>IF(X186="","",X186)</f>
        <v/>
      </c>
      <c r="AT186" s="23">
        <f>IF(Y186="","",Y186)</f>
        <v/>
      </c>
      <c r="AU186" s="10">
        <f>IF($A186="","",IF(OR(Z186=1,AR186=1,AJ186=1),"淘汰","通过"))</f>
        <v/>
      </c>
      <c r="AV186" s="10">
        <f>IF($A186="","",IF(OR(AA186=1,AR186=1,AND(AK186=1,AI186=1),AO186=1),"淘汰","通过"))</f>
        <v/>
      </c>
      <c r="AW186" s="24">
        <f>IF($A186="","",IF(AU186="淘汰","",ROUND(SUMPRODUCT(Z186:AT186,Z$2:AT$2)/5,1)))</f>
        <v/>
      </c>
      <c r="AX186" s="24">
        <f>IF($A186="","",IF(AV186="淘汰","",ROUND(SUMPRODUCT(Z186:AT186,Z$3:AT$3)/5,1)))</f>
        <v/>
      </c>
    </row>
    <row r="187" ht="15.75" customHeight="1" s="25">
      <c r="A187" s="22" t="n"/>
      <c r="B187" s="20" t="n"/>
      <c r="C187" s="22" t="n"/>
      <c r="D187" s="22" t="n"/>
      <c r="E187" s="22" t="n"/>
      <c r="F187" s="22" t="n"/>
      <c r="G187" s="21" t="n"/>
      <c r="H187" s="21" t="n"/>
      <c r="I187" s="21" t="n"/>
      <c r="J187" s="21" t="n"/>
      <c r="K187" s="21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3">
        <f>IF(E187="","",IF('分位数阈值'!$D$2="","",IFS(E187&gt;='分位数阈值'!$D$2,5,E187&gt;='分位数阈值'!$E$2,4,E187&gt;='分位数阈值'!$F$2,3,E187&gt;='分位数阈值'!$G$2,2,TRUE,1)))</f>
        <v/>
      </c>
      <c r="AA187" s="23">
        <f>IF(F187="","",IF('分位数阈值'!$D$3="","",IFS(F187&gt;='分位数阈值'!$D$3,5,F187&gt;='分位数阈值'!$E$3,4,F187&gt;='分位数阈值'!$F$3,3,F187&gt;='分位数阈值'!$G$3,2,TRUE,1)))</f>
        <v/>
      </c>
      <c r="AB187" s="23">
        <f>IF(G187="","",IF('分位数阈值'!$D$4="","",IFS(G187&gt;='分位数阈值'!$D$4,5,G187&gt;='分位数阈值'!$E$4,4,G187&gt;='分位数阈值'!$F$4,3,G187&gt;='分位数阈值'!$G$4,2,TRUE,1)))</f>
        <v/>
      </c>
      <c r="AC187" s="23">
        <f>IF(H187="","",IF('分位数阈值'!$D$5="","",IFS(H187&gt;='分位数阈值'!$D$5,5,H187&gt;='分位数阈值'!$E$5,4,H187&gt;='分位数阈值'!$F$5,3,H187&gt;='分位数阈值'!$G$5,2,TRUE,1)))</f>
        <v/>
      </c>
      <c r="AD187" s="23">
        <f>IF(I187="","",IF('分位数阈值'!$D$6="","",IFS(I187&gt;='分位数阈值'!$D$6,5,I187&gt;='分位数阈值'!$E$6,4,I187&gt;='分位数阈值'!$F$6,3,I187&gt;='分位数阈值'!$G$6,2,TRUE,1)))</f>
        <v/>
      </c>
      <c r="AE187" s="23">
        <f>IF(J187="","",IF('分位数阈值'!$D$7="","",IFS(J187&gt;='分位数阈值'!$D$7,5,J187&gt;='分位数阈值'!$E$7,4,J187&gt;='分位数阈值'!$F$7,3,J187&gt;='分位数阈值'!$G$7,2,TRUE,1)))</f>
        <v/>
      </c>
      <c r="AF187" s="23">
        <f>IF(K187="","",IF('分位数阈值'!$D$8="","",IFS(K187&gt;='分位数阈值'!$D$8,5,K187&gt;='分位数阈值'!$E$8,4,K187&gt;='分位数阈值'!$F$8,3,K187&gt;='分位数阈值'!$G$8,2,TRUE,1)))</f>
        <v/>
      </c>
      <c r="AG187" s="23">
        <f>IF(L187="","",IF('分位数阈值'!$D$9="","",IFS(L187&gt;='分位数阈值'!$D$9,5,L187&gt;='分位数阈值'!$E$9,4,L187&gt;='分位数阈值'!$F$9,3,L187&gt;='分位数阈值'!$G$9,2,TRUE,1)))</f>
        <v/>
      </c>
      <c r="AH187" s="23">
        <f>IF(M187="","",IF('分位数阈值'!$D$10="","",IFS(M187&lt;='分位数阈值'!$G$10,5,M187&lt;='分位数阈值'!$F$10,4,M187&lt;='分位数阈值'!$E$10,3,M187&lt;='分位数阈值'!$D$10,2,TRUE,1)))</f>
        <v/>
      </c>
      <c r="AI187" s="23">
        <f>IF(N187="","",IF('分位数阈值'!$D$11="","",IFS(N187&lt;='分位数阈值'!$G$11,5,N187&lt;='分位数阈值'!$F$11,4,N187&lt;='分位数阈值'!$E$11,3,N187&lt;='分位数阈值'!$D$11,2,TRUE,1)))</f>
        <v/>
      </c>
      <c r="AJ187" s="23">
        <f>IF(P187="","",IF(P187=1,1,5))</f>
        <v/>
      </c>
      <c r="AK187" s="23">
        <f>IF(Q187="","",IF(Q187=1,1,5))</f>
        <v/>
      </c>
      <c r="AL187" s="23">
        <f>IF(O187="","",IF('分位数阈值'!$D$12="","",IFS(O187&gt;='分位数阈值'!$D$12,5,O187&gt;='分位数阈值'!$E$12,4,O187&gt;='分位数阈值'!$F$12,3,O187&gt;='分位数阈值'!$G$12,2,TRUE,1)))</f>
        <v/>
      </c>
      <c r="AM187" s="23">
        <f>IF(R187="","",IF('分位数阈值'!$D$13="","",IFS(R187&lt;='分位数阈值'!$G$13,5,R187&lt;='分位数阈值'!$F$13,4,R187&lt;='分位数阈值'!$E$13,3,R187&lt;='分位数阈值'!$D$13,2,TRUE,1)))</f>
        <v/>
      </c>
      <c r="AN187" s="23">
        <f>IF(S187="","",IF('分位数阈值'!$D$14="","",IFS(S187&lt;='分位数阈值'!$G$14,5,S187&lt;='分位数阈值'!$F$14,4,S187&lt;='分位数阈值'!$E$14,3,S187&lt;='分位数阈值'!$D$14,2,TRUE,1)))</f>
        <v/>
      </c>
      <c r="AO187" s="23">
        <f>IF(T187="","",IF('分位数阈值'!$D$15="","",IFS(T187&lt;='分位数阈值'!$G$15,5,T187&lt;='分位数阈值'!$F$15,4,T187&lt;='分位数阈值'!$E$15,3,T187&lt;='分位数阈值'!$D$15,2,TRUE,1)))</f>
        <v/>
      </c>
      <c r="AP187" s="23">
        <f>IF(U187="","",IF(U187=1,5,1))</f>
        <v/>
      </c>
      <c r="AQ187" s="23">
        <f>IF(V187="","",V187)</f>
        <v/>
      </c>
      <c r="AR187" s="23">
        <f>IF(W187="","",IF('分位数阈值'!$D$16="","",IFS(W187&lt;='分位数阈值'!$G$16,5,W187&lt;='分位数阈值'!$F$16,4,W187&lt;='分位数阈值'!$E$16,3,W187&lt;='分位数阈值'!$D$16,2,TRUE,1)))</f>
        <v/>
      </c>
      <c r="AS187" s="23">
        <f>IF(X187="","",X187)</f>
        <v/>
      </c>
      <c r="AT187" s="23">
        <f>IF(Y187="","",Y187)</f>
        <v/>
      </c>
      <c r="AU187" s="10">
        <f>IF($A187="","",IF(OR(Z187=1,AR187=1,AJ187=1),"淘汰","通过"))</f>
        <v/>
      </c>
      <c r="AV187" s="10">
        <f>IF($A187="","",IF(OR(AA187=1,AR187=1,AND(AK187=1,AI187=1),AO187=1),"淘汰","通过"))</f>
        <v/>
      </c>
      <c r="AW187" s="24">
        <f>IF($A187="","",IF(AU187="淘汰","",ROUND(SUMPRODUCT(Z187:AT187,Z$2:AT$2)/5,1)))</f>
        <v/>
      </c>
      <c r="AX187" s="24">
        <f>IF($A187="","",IF(AV187="淘汰","",ROUND(SUMPRODUCT(Z187:AT187,Z$3:AT$3)/5,1)))</f>
        <v/>
      </c>
    </row>
    <row r="188" ht="15.75" customHeight="1" s="25">
      <c r="A188" s="22" t="n"/>
      <c r="B188" s="20" t="n"/>
      <c r="C188" s="22" t="n"/>
      <c r="D188" s="22" t="n"/>
      <c r="E188" s="22" t="n"/>
      <c r="F188" s="22" t="n"/>
      <c r="G188" s="21" t="n"/>
      <c r="H188" s="21" t="n"/>
      <c r="I188" s="21" t="n"/>
      <c r="J188" s="21" t="n"/>
      <c r="K188" s="21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3">
        <f>IF(E188="","",IF('分位数阈值'!$D$2="","",IFS(E188&gt;='分位数阈值'!$D$2,5,E188&gt;='分位数阈值'!$E$2,4,E188&gt;='分位数阈值'!$F$2,3,E188&gt;='分位数阈值'!$G$2,2,TRUE,1)))</f>
        <v/>
      </c>
      <c r="AA188" s="23">
        <f>IF(F188="","",IF('分位数阈值'!$D$3="","",IFS(F188&gt;='分位数阈值'!$D$3,5,F188&gt;='分位数阈值'!$E$3,4,F188&gt;='分位数阈值'!$F$3,3,F188&gt;='分位数阈值'!$G$3,2,TRUE,1)))</f>
        <v/>
      </c>
      <c r="AB188" s="23">
        <f>IF(G188="","",IF('分位数阈值'!$D$4="","",IFS(G188&gt;='分位数阈值'!$D$4,5,G188&gt;='分位数阈值'!$E$4,4,G188&gt;='分位数阈值'!$F$4,3,G188&gt;='分位数阈值'!$G$4,2,TRUE,1)))</f>
        <v/>
      </c>
      <c r="AC188" s="23">
        <f>IF(H188="","",IF('分位数阈值'!$D$5="","",IFS(H188&gt;='分位数阈值'!$D$5,5,H188&gt;='分位数阈值'!$E$5,4,H188&gt;='分位数阈值'!$F$5,3,H188&gt;='分位数阈值'!$G$5,2,TRUE,1)))</f>
        <v/>
      </c>
      <c r="AD188" s="23">
        <f>IF(I188="","",IF('分位数阈值'!$D$6="","",IFS(I188&gt;='分位数阈值'!$D$6,5,I188&gt;='分位数阈值'!$E$6,4,I188&gt;='分位数阈值'!$F$6,3,I188&gt;='分位数阈值'!$G$6,2,TRUE,1)))</f>
        <v/>
      </c>
      <c r="AE188" s="23">
        <f>IF(J188="","",IF('分位数阈值'!$D$7="","",IFS(J188&gt;='分位数阈值'!$D$7,5,J188&gt;='分位数阈值'!$E$7,4,J188&gt;='分位数阈值'!$F$7,3,J188&gt;='分位数阈值'!$G$7,2,TRUE,1)))</f>
        <v/>
      </c>
      <c r="AF188" s="23">
        <f>IF(K188="","",IF('分位数阈值'!$D$8="","",IFS(K188&gt;='分位数阈值'!$D$8,5,K188&gt;='分位数阈值'!$E$8,4,K188&gt;='分位数阈值'!$F$8,3,K188&gt;='分位数阈值'!$G$8,2,TRUE,1)))</f>
        <v/>
      </c>
      <c r="AG188" s="23">
        <f>IF(L188="","",IF('分位数阈值'!$D$9="","",IFS(L188&gt;='分位数阈值'!$D$9,5,L188&gt;='分位数阈值'!$E$9,4,L188&gt;='分位数阈值'!$F$9,3,L188&gt;='分位数阈值'!$G$9,2,TRUE,1)))</f>
        <v/>
      </c>
      <c r="AH188" s="23">
        <f>IF(M188="","",IF('分位数阈值'!$D$10="","",IFS(M188&lt;='分位数阈值'!$G$10,5,M188&lt;='分位数阈值'!$F$10,4,M188&lt;='分位数阈值'!$E$10,3,M188&lt;='分位数阈值'!$D$10,2,TRUE,1)))</f>
        <v/>
      </c>
      <c r="AI188" s="23">
        <f>IF(N188="","",IF('分位数阈值'!$D$11="","",IFS(N188&lt;='分位数阈值'!$G$11,5,N188&lt;='分位数阈值'!$F$11,4,N188&lt;='分位数阈值'!$E$11,3,N188&lt;='分位数阈值'!$D$11,2,TRUE,1)))</f>
        <v/>
      </c>
      <c r="AJ188" s="23">
        <f>IF(P188="","",IF(P188=1,1,5))</f>
        <v/>
      </c>
      <c r="AK188" s="23">
        <f>IF(Q188="","",IF(Q188=1,1,5))</f>
        <v/>
      </c>
      <c r="AL188" s="23">
        <f>IF(O188="","",IF('分位数阈值'!$D$12="","",IFS(O188&gt;='分位数阈值'!$D$12,5,O188&gt;='分位数阈值'!$E$12,4,O188&gt;='分位数阈值'!$F$12,3,O188&gt;='分位数阈值'!$G$12,2,TRUE,1)))</f>
        <v/>
      </c>
      <c r="AM188" s="23">
        <f>IF(R188="","",IF('分位数阈值'!$D$13="","",IFS(R188&lt;='分位数阈值'!$G$13,5,R188&lt;='分位数阈值'!$F$13,4,R188&lt;='分位数阈值'!$E$13,3,R188&lt;='分位数阈值'!$D$13,2,TRUE,1)))</f>
        <v/>
      </c>
      <c r="AN188" s="23">
        <f>IF(S188="","",IF('分位数阈值'!$D$14="","",IFS(S188&lt;='分位数阈值'!$G$14,5,S188&lt;='分位数阈值'!$F$14,4,S188&lt;='分位数阈值'!$E$14,3,S188&lt;='分位数阈值'!$D$14,2,TRUE,1)))</f>
        <v/>
      </c>
      <c r="AO188" s="23">
        <f>IF(T188="","",IF('分位数阈值'!$D$15="","",IFS(T188&lt;='分位数阈值'!$G$15,5,T188&lt;='分位数阈值'!$F$15,4,T188&lt;='分位数阈值'!$E$15,3,T188&lt;='分位数阈值'!$D$15,2,TRUE,1)))</f>
        <v/>
      </c>
      <c r="AP188" s="23">
        <f>IF(U188="","",IF(U188=1,5,1))</f>
        <v/>
      </c>
      <c r="AQ188" s="23">
        <f>IF(V188="","",V188)</f>
        <v/>
      </c>
      <c r="AR188" s="23">
        <f>IF(W188="","",IF('分位数阈值'!$D$16="","",IFS(W188&lt;='分位数阈值'!$G$16,5,W188&lt;='分位数阈值'!$F$16,4,W188&lt;='分位数阈值'!$E$16,3,W188&lt;='分位数阈值'!$D$16,2,TRUE,1)))</f>
        <v/>
      </c>
      <c r="AS188" s="23">
        <f>IF(X188="","",X188)</f>
        <v/>
      </c>
      <c r="AT188" s="23">
        <f>IF(Y188="","",Y188)</f>
        <v/>
      </c>
      <c r="AU188" s="10">
        <f>IF($A188="","",IF(OR(Z188=1,AR188=1,AJ188=1),"淘汰","通过"))</f>
        <v/>
      </c>
      <c r="AV188" s="10">
        <f>IF($A188="","",IF(OR(AA188=1,AR188=1,AND(AK188=1,AI188=1),AO188=1),"淘汰","通过"))</f>
        <v/>
      </c>
      <c r="AW188" s="24">
        <f>IF($A188="","",IF(AU188="淘汰","",ROUND(SUMPRODUCT(Z188:AT188,Z$2:AT$2)/5,1)))</f>
        <v/>
      </c>
      <c r="AX188" s="24">
        <f>IF($A188="","",IF(AV188="淘汰","",ROUND(SUMPRODUCT(Z188:AT188,Z$3:AT$3)/5,1)))</f>
        <v/>
      </c>
    </row>
    <row r="189" ht="15.75" customHeight="1" s="25">
      <c r="A189" s="22" t="n"/>
      <c r="B189" s="20" t="n"/>
      <c r="C189" s="22" t="n"/>
      <c r="D189" s="22" t="n"/>
      <c r="E189" s="22" t="n"/>
      <c r="F189" s="22" t="n"/>
      <c r="G189" s="21" t="n"/>
      <c r="H189" s="21" t="n"/>
      <c r="I189" s="21" t="n"/>
      <c r="J189" s="21" t="n"/>
      <c r="K189" s="21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3">
        <f>IF(E189="","",IF('分位数阈值'!$D$2="","",IFS(E189&gt;='分位数阈值'!$D$2,5,E189&gt;='分位数阈值'!$E$2,4,E189&gt;='分位数阈值'!$F$2,3,E189&gt;='分位数阈值'!$G$2,2,TRUE,1)))</f>
        <v/>
      </c>
      <c r="AA189" s="23">
        <f>IF(F189="","",IF('分位数阈值'!$D$3="","",IFS(F189&gt;='分位数阈值'!$D$3,5,F189&gt;='分位数阈值'!$E$3,4,F189&gt;='分位数阈值'!$F$3,3,F189&gt;='分位数阈值'!$G$3,2,TRUE,1)))</f>
        <v/>
      </c>
      <c r="AB189" s="23">
        <f>IF(G189="","",IF('分位数阈值'!$D$4="","",IFS(G189&gt;='分位数阈值'!$D$4,5,G189&gt;='分位数阈值'!$E$4,4,G189&gt;='分位数阈值'!$F$4,3,G189&gt;='分位数阈值'!$G$4,2,TRUE,1)))</f>
        <v/>
      </c>
      <c r="AC189" s="23">
        <f>IF(H189="","",IF('分位数阈值'!$D$5="","",IFS(H189&gt;='分位数阈值'!$D$5,5,H189&gt;='分位数阈值'!$E$5,4,H189&gt;='分位数阈值'!$F$5,3,H189&gt;='分位数阈值'!$G$5,2,TRUE,1)))</f>
        <v/>
      </c>
      <c r="AD189" s="23">
        <f>IF(I189="","",IF('分位数阈值'!$D$6="","",IFS(I189&gt;='分位数阈值'!$D$6,5,I189&gt;='分位数阈值'!$E$6,4,I189&gt;='分位数阈值'!$F$6,3,I189&gt;='分位数阈值'!$G$6,2,TRUE,1)))</f>
        <v/>
      </c>
      <c r="AE189" s="23">
        <f>IF(J189="","",IF('分位数阈值'!$D$7="","",IFS(J189&gt;='分位数阈值'!$D$7,5,J189&gt;='分位数阈值'!$E$7,4,J189&gt;='分位数阈值'!$F$7,3,J189&gt;='分位数阈值'!$G$7,2,TRUE,1)))</f>
        <v/>
      </c>
      <c r="AF189" s="23">
        <f>IF(K189="","",IF('分位数阈值'!$D$8="","",IFS(K189&gt;='分位数阈值'!$D$8,5,K189&gt;='分位数阈值'!$E$8,4,K189&gt;='分位数阈值'!$F$8,3,K189&gt;='分位数阈值'!$G$8,2,TRUE,1)))</f>
        <v/>
      </c>
      <c r="AG189" s="23">
        <f>IF(L189="","",IF('分位数阈值'!$D$9="","",IFS(L189&gt;='分位数阈值'!$D$9,5,L189&gt;='分位数阈值'!$E$9,4,L189&gt;='分位数阈值'!$F$9,3,L189&gt;='分位数阈值'!$G$9,2,TRUE,1)))</f>
        <v/>
      </c>
      <c r="AH189" s="23">
        <f>IF(M189="","",IF('分位数阈值'!$D$10="","",IFS(M189&lt;='分位数阈值'!$G$10,5,M189&lt;='分位数阈值'!$F$10,4,M189&lt;='分位数阈值'!$E$10,3,M189&lt;='分位数阈值'!$D$10,2,TRUE,1)))</f>
        <v/>
      </c>
      <c r="AI189" s="23">
        <f>IF(N189="","",IF('分位数阈值'!$D$11="","",IFS(N189&lt;='分位数阈值'!$G$11,5,N189&lt;='分位数阈值'!$F$11,4,N189&lt;='分位数阈值'!$E$11,3,N189&lt;='分位数阈值'!$D$11,2,TRUE,1)))</f>
        <v/>
      </c>
      <c r="AJ189" s="23">
        <f>IF(P189="","",IF(P189=1,1,5))</f>
        <v/>
      </c>
      <c r="AK189" s="23">
        <f>IF(Q189="","",IF(Q189=1,1,5))</f>
        <v/>
      </c>
      <c r="AL189" s="23">
        <f>IF(O189="","",IF('分位数阈值'!$D$12="","",IFS(O189&gt;='分位数阈值'!$D$12,5,O189&gt;='分位数阈值'!$E$12,4,O189&gt;='分位数阈值'!$F$12,3,O189&gt;='分位数阈值'!$G$12,2,TRUE,1)))</f>
        <v/>
      </c>
      <c r="AM189" s="23">
        <f>IF(R189="","",IF('分位数阈值'!$D$13="","",IFS(R189&lt;='分位数阈值'!$G$13,5,R189&lt;='分位数阈值'!$F$13,4,R189&lt;='分位数阈值'!$E$13,3,R189&lt;='分位数阈值'!$D$13,2,TRUE,1)))</f>
        <v/>
      </c>
      <c r="AN189" s="23">
        <f>IF(S189="","",IF('分位数阈值'!$D$14="","",IFS(S189&lt;='分位数阈值'!$G$14,5,S189&lt;='分位数阈值'!$F$14,4,S189&lt;='分位数阈值'!$E$14,3,S189&lt;='分位数阈值'!$D$14,2,TRUE,1)))</f>
        <v/>
      </c>
      <c r="AO189" s="23">
        <f>IF(T189="","",IF('分位数阈值'!$D$15="","",IFS(T189&lt;='分位数阈值'!$G$15,5,T189&lt;='分位数阈值'!$F$15,4,T189&lt;='分位数阈值'!$E$15,3,T189&lt;='分位数阈值'!$D$15,2,TRUE,1)))</f>
        <v/>
      </c>
      <c r="AP189" s="23">
        <f>IF(U189="","",IF(U189=1,5,1))</f>
        <v/>
      </c>
      <c r="AQ189" s="23">
        <f>IF(V189="","",V189)</f>
        <v/>
      </c>
      <c r="AR189" s="23">
        <f>IF(W189="","",IF('分位数阈值'!$D$16="","",IFS(W189&lt;='分位数阈值'!$G$16,5,W189&lt;='分位数阈值'!$F$16,4,W189&lt;='分位数阈值'!$E$16,3,W189&lt;='分位数阈值'!$D$16,2,TRUE,1)))</f>
        <v/>
      </c>
      <c r="AS189" s="23">
        <f>IF(X189="","",X189)</f>
        <v/>
      </c>
      <c r="AT189" s="23">
        <f>IF(Y189="","",Y189)</f>
        <v/>
      </c>
      <c r="AU189" s="10">
        <f>IF($A189="","",IF(OR(Z189=1,AR189=1,AJ189=1),"淘汰","通过"))</f>
        <v/>
      </c>
      <c r="AV189" s="10">
        <f>IF($A189="","",IF(OR(AA189=1,AR189=1,AND(AK189=1,AI189=1),AO189=1),"淘汰","通过"))</f>
        <v/>
      </c>
      <c r="AW189" s="24">
        <f>IF($A189="","",IF(AU189="淘汰","",ROUND(SUMPRODUCT(Z189:AT189,Z$2:AT$2)/5,1)))</f>
        <v/>
      </c>
      <c r="AX189" s="24">
        <f>IF($A189="","",IF(AV189="淘汰","",ROUND(SUMPRODUCT(Z189:AT189,Z$3:AT$3)/5,1)))</f>
        <v/>
      </c>
    </row>
    <row r="190" ht="15.75" customHeight="1" s="25">
      <c r="A190" s="22" t="n"/>
      <c r="B190" s="20" t="n"/>
      <c r="C190" s="22" t="n"/>
      <c r="D190" s="22" t="n"/>
      <c r="E190" s="22" t="n"/>
      <c r="F190" s="22" t="n"/>
      <c r="G190" s="21" t="n"/>
      <c r="H190" s="21" t="n"/>
      <c r="I190" s="21" t="n"/>
      <c r="J190" s="21" t="n"/>
      <c r="K190" s="21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3">
        <f>IF(E190="","",IF('分位数阈值'!$D$2="","",IFS(E190&gt;='分位数阈值'!$D$2,5,E190&gt;='分位数阈值'!$E$2,4,E190&gt;='分位数阈值'!$F$2,3,E190&gt;='分位数阈值'!$G$2,2,TRUE,1)))</f>
        <v/>
      </c>
      <c r="AA190" s="23">
        <f>IF(F190="","",IF('分位数阈值'!$D$3="","",IFS(F190&gt;='分位数阈值'!$D$3,5,F190&gt;='分位数阈值'!$E$3,4,F190&gt;='分位数阈值'!$F$3,3,F190&gt;='分位数阈值'!$G$3,2,TRUE,1)))</f>
        <v/>
      </c>
      <c r="AB190" s="23">
        <f>IF(G190="","",IF('分位数阈值'!$D$4="","",IFS(G190&gt;='分位数阈值'!$D$4,5,G190&gt;='分位数阈值'!$E$4,4,G190&gt;='分位数阈值'!$F$4,3,G190&gt;='分位数阈值'!$G$4,2,TRUE,1)))</f>
        <v/>
      </c>
      <c r="AC190" s="23">
        <f>IF(H190="","",IF('分位数阈值'!$D$5="","",IFS(H190&gt;='分位数阈值'!$D$5,5,H190&gt;='分位数阈值'!$E$5,4,H190&gt;='分位数阈值'!$F$5,3,H190&gt;='分位数阈值'!$G$5,2,TRUE,1)))</f>
        <v/>
      </c>
      <c r="AD190" s="23">
        <f>IF(I190="","",IF('分位数阈值'!$D$6="","",IFS(I190&gt;='分位数阈值'!$D$6,5,I190&gt;='分位数阈值'!$E$6,4,I190&gt;='分位数阈值'!$F$6,3,I190&gt;='分位数阈值'!$G$6,2,TRUE,1)))</f>
        <v/>
      </c>
      <c r="AE190" s="23">
        <f>IF(J190="","",IF('分位数阈值'!$D$7="","",IFS(J190&gt;='分位数阈值'!$D$7,5,J190&gt;='分位数阈值'!$E$7,4,J190&gt;='分位数阈值'!$F$7,3,J190&gt;='分位数阈值'!$G$7,2,TRUE,1)))</f>
        <v/>
      </c>
      <c r="AF190" s="23">
        <f>IF(K190="","",IF('分位数阈值'!$D$8="","",IFS(K190&gt;='分位数阈值'!$D$8,5,K190&gt;='分位数阈值'!$E$8,4,K190&gt;='分位数阈值'!$F$8,3,K190&gt;='分位数阈值'!$G$8,2,TRUE,1)))</f>
        <v/>
      </c>
      <c r="AG190" s="23">
        <f>IF(L190="","",IF('分位数阈值'!$D$9="","",IFS(L190&gt;='分位数阈值'!$D$9,5,L190&gt;='分位数阈值'!$E$9,4,L190&gt;='分位数阈值'!$F$9,3,L190&gt;='分位数阈值'!$G$9,2,TRUE,1)))</f>
        <v/>
      </c>
      <c r="AH190" s="23">
        <f>IF(M190="","",IF('分位数阈值'!$D$10="","",IFS(M190&lt;='分位数阈值'!$G$10,5,M190&lt;='分位数阈值'!$F$10,4,M190&lt;='分位数阈值'!$E$10,3,M190&lt;='分位数阈值'!$D$10,2,TRUE,1)))</f>
        <v/>
      </c>
      <c r="AI190" s="23">
        <f>IF(N190="","",IF('分位数阈值'!$D$11="","",IFS(N190&lt;='分位数阈值'!$G$11,5,N190&lt;='分位数阈值'!$F$11,4,N190&lt;='分位数阈值'!$E$11,3,N190&lt;='分位数阈值'!$D$11,2,TRUE,1)))</f>
        <v/>
      </c>
      <c r="AJ190" s="23">
        <f>IF(P190="","",IF(P190=1,1,5))</f>
        <v/>
      </c>
      <c r="AK190" s="23">
        <f>IF(Q190="","",IF(Q190=1,1,5))</f>
        <v/>
      </c>
      <c r="AL190" s="23">
        <f>IF(O190="","",IF('分位数阈值'!$D$12="","",IFS(O190&gt;='分位数阈值'!$D$12,5,O190&gt;='分位数阈值'!$E$12,4,O190&gt;='分位数阈值'!$F$12,3,O190&gt;='分位数阈值'!$G$12,2,TRUE,1)))</f>
        <v/>
      </c>
      <c r="AM190" s="23">
        <f>IF(R190="","",IF('分位数阈值'!$D$13="","",IFS(R190&lt;='分位数阈值'!$G$13,5,R190&lt;='分位数阈值'!$F$13,4,R190&lt;='分位数阈值'!$E$13,3,R190&lt;='分位数阈值'!$D$13,2,TRUE,1)))</f>
        <v/>
      </c>
      <c r="AN190" s="23">
        <f>IF(S190="","",IF('分位数阈值'!$D$14="","",IFS(S190&lt;='分位数阈值'!$G$14,5,S190&lt;='分位数阈值'!$F$14,4,S190&lt;='分位数阈值'!$E$14,3,S190&lt;='分位数阈值'!$D$14,2,TRUE,1)))</f>
        <v/>
      </c>
      <c r="AO190" s="23">
        <f>IF(T190="","",IF('分位数阈值'!$D$15="","",IFS(T190&lt;='分位数阈值'!$G$15,5,T190&lt;='分位数阈值'!$F$15,4,T190&lt;='分位数阈值'!$E$15,3,T190&lt;='分位数阈值'!$D$15,2,TRUE,1)))</f>
        <v/>
      </c>
      <c r="AP190" s="23">
        <f>IF(U190="","",IF(U190=1,5,1))</f>
        <v/>
      </c>
      <c r="AQ190" s="23">
        <f>IF(V190="","",V190)</f>
        <v/>
      </c>
      <c r="AR190" s="23">
        <f>IF(W190="","",IF('分位数阈值'!$D$16="","",IFS(W190&lt;='分位数阈值'!$G$16,5,W190&lt;='分位数阈值'!$F$16,4,W190&lt;='分位数阈值'!$E$16,3,W190&lt;='分位数阈值'!$D$16,2,TRUE,1)))</f>
        <v/>
      </c>
      <c r="AS190" s="23">
        <f>IF(X190="","",X190)</f>
        <v/>
      </c>
      <c r="AT190" s="23">
        <f>IF(Y190="","",Y190)</f>
        <v/>
      </c>
      <c r="AU190" s="10">
        <f>IF($A190="","",IF(OR(Z190=1,AR190=1,AJ190=1),"淘汰","通过"))</f>
        <v/>
      </c>
      <c r="AV190" s="10">
        <f>IF($A190="","",IF(OR(AA190=1,AR190=1,AND(AK190=1,AI190=1),AO190=1),"淘汰","通过"))</f>
        <v/>
      </c>
      <c r="AW190" s="24">
        <f>IF($A190="","",IF(AU190="淘汰","",ROUND(SUMPRODUCT(Z190:AT190,Z$2:AT$2)/5,1)))</f>
        <v/>
      </c>
      <c r="AX190" s="24">
        <f>IF($A190="","",IF(AV190="淘汰","",ROUND(SUMPRODUCT(Z190:AT190,Z$3:AT$3)/5,1)))</f>
        <v/>
      </c>
    </row>
    <row r="191" ht="15.75" customHeight="1" s="25">
      <c r="A191" s="22" t="n"/>
      <c r="B191" s="20" t="n"/>
      <c r="C191" s="22" t="n"/>
      <c r="D191" s="22" t="n"/>
      <c r="E191" s="22" t="n"/>
      <c r="F191" s="22" t="n"/>
      <c r="G191" s="21" t="n"/>
      <c r="H191" s="21" t="n"/>
      <c r="I191" s="21" t="n"/>
      <c r="J191" s="21" t="n"/>
      <c r="K191" s="21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3">
        <f>IF(E191="","",IF('分位数阈值'!$D$2="","",IFS(E191&gt;='分位数阈值'!$D$2,5,E191&gt;='分位数阈值'!$E$2,4,E191&gt;='分位数阈值'!$F$2,3,E191&gt;='分位数阈值'!$G$2,2,TRUE,1)))</f>
        <v/>
      </c>
      <c r="AA191" s="23">
        <f>IF(F191="","",IF('分位数阈值'!$D$3="","",IFS(F191&gt;='分位数阈值'!$D$3,5,F191&gt;='分位数阈值'!$E$3,4,F191&gt;='分位数阈值'!$F$3,3,F191&gt;='分位数阈值'!$G$3,2,TRUE,1)))</f>
        <v/>
      </c>
      <c r="AB191" s="23">
        <f>IF(G191="","",IF('分位数阈值'!$D$4="","",IFS(G191&gt;='分位数阈值'!$D$4,5,G191&gt;='分位数阈值'!$E$4,4,G191&gt;='分位数阈值'!$F$4,3,G191&gt;='分位数阈值'!$G$4,2,TRUE,1)))</f>
        <v/>
      </c>
      <c r="AC191" s="23">
        <f>IF(H191="","",IF('分位数阈值'!$D$5="","",IFS(H191&gt;='分位数阈值'!$D$5,5,H191&gt;='分位数阈值'!$E$5,4,H191&gt;='分位数阈值'!$F$5,3,H191&gt;='分位数阈值'!$G$5,2,TRUE,1)))</f>
        <v/>
      </c>
      <c r="AD191" s="23">
        <f>IF(I191="","",IF('分位数阈值'!$D$6="","",IFS(I191&gt;='分位数阈值'!$D$6,5,I191&gt;='分位数阈值'!$E$6,4,I191&gt;='分位数阈值'!$F$6,3,I191&gt;='分位数阈值'!$G$6,2,TRUE,1)))</f>
        <v/>
      </c>
      <c r="AE191" s="23">
        <f>IF(J191="","",IF('分位数阈值'!$D$7="","",IFS(J191&gt;='分位数阈值'!$D$7,5,J191&gt;='分位数阈值'!$E$7,4,J191&gt;='分位数阈值'!$F$7,3,J191&gt;='分位数阈值'!$G$7,2,TRUE,1)))</f>
        <v/>
      </c>
      <c r="AF191" s="23">
        <f>IF(K191="","",IF('分位数阈值'!$D$8="","",IFS(K191&gt;='分位数阈值'!$D$8,5,K191&gt;='分位数阈值'!$E$8,4,K191&gt;='分位数阈值'!$F$8,3,K191&gt;='分位数阈值'!$G$8,2,TRUE,1)))</f>
        <v/>
      </c>
      <c r="AG191" s="23">
        <f>IF(L191="","",IF('分位数阈值'!$D$9="","",IFS(L191&gt;='分位数阈值'!$D$9,5,L191&gt;='分位数阈值'!$E$9,4,L191&gt;='分位数阈值'!$F$9,3,L191&gt;='分位数阈值'!$G$9,2,TRUE,1)))</f>
        <v/>
      </c>
      <c r="AH191" s="23">
        <f>IF(M191="","",IF('分位数阈值'!$D$10="","",IFS(M191&lt;='分位数阈值'!$G$10,5,M191&lt;='分位数阈值'!$F$10,4,M191&lt;='分位数阈值'!$E$10,3,M191&lt;='分位数阈值'!$D$10,2,TRUE,1)))</f>
        <v/>
      </c>
      <c r="AI191" s="23">
        <f>IF(N191="","",IF('分位数阈值'!$D$11="","",IFS(N191&lt;='分位数阈值'!$G$11,5,N191&lt;='分位数阈值'!$F$11,4,N191&lt;='分位数阈值'!$E$11,3,N191&lt;='分位数阈值'!$D$11,2,TRUE,1)))</f>
        <v/>
      </c>
      <c r="AJ191" s="23">
        <f>IF(P191="","",IF(P191=1,1,5))</f>
        <v/>
      </c>
      <c r="AK191" s="23">
        <f>IF(Q191="","",IF(Q191=1,1,5))</f>
        <v/>
      </c>
      <c r="AL191" s="23">
        <f>IF(O191="","",IF('分位数阈值'!$D$12="","",IFS(O191&gt;='分位数阈值'!$D$12,5,O191&gt;='分位数阈值'!$E$12,4,O191&gt;='分位数阈值'!$F$12,3,O191&gt;='分位数阈值'!$G$12,2,TRUE,1)))</f>
        <v/>
      </c>
      <c r="AM191" s="23">
        <f>IF(R191="","",IF('分位数阈值'!$D$13="","",IFS(R191&lt;='分位数阈值'!$G$13,5,R191&lt;='分位数阈值'!$F$13,4,R191&lt;='分位数阈值'!$E$13,3,R191&lt;='分位数阈值'!$D$13,2,TRUE,1)))</f>
        <v/>
      </c>
      <c r="AN191" s="23">
        <f>IF(S191="","",IF('分位数阈值'!$D$14="","",IFS(S191&lt;='分位数阈值'!$G$14,5,S191&lt;='分位数阈值'!$F$14,4,S191&lt;='分位数阈值'!$E$14,3,S191&lt;='分位数阈值'!$D$14,2,TRUE,1)))</f>
        <v/>
      </c>
      <c r="AO191" s="23">
        <f>IF(T191="","",IF('分位数阈值'!$D$15="","",IFS(T191&lt;='分位数阈值'!$G$15,5,T191&lt;='分位数阈值'!$F$15,4,T191&lt;='分位数阈值'!$E$15,3,T191&lt;='分位数阈值'!$D$15,2,TRUE,1)))</f>
        <v/>
      </c>
      <c r="AP191" s="23">
        <f>IF(U191="","",IF(U191=1,5,1))</f>
        <v/>
      </c>
      <c r="AQ191" s="23">
        <f>IF(V191="","",V191)</f>
        <v/>
      </c>
      <c r="AR191" s="23">
        <f>IF(W191="","",IF('分位数阈值'!$D$16="","",IFS(W191&lt;='分位数阈值'!$G$16,5,W191&lt;='分位数阈值'!$F$16,4,W191&lt;='分位数阈值'!$E$16,3,W191&lt;='分位数阈值'!$D$16,2,TRUE,1)))</f>
        <v/>
      </c>
      <c r="AS191" s="23">
        <f>IF(X191="","",X191)</f>
        <v/>
      </c>
      <c r="AT191" s="23">
        <f>IF(Y191="","",Y191)</f>
        <v/>
      </c>
      <c r="AU191" s="10">
        <f>IF($A191="","",IF(OR(Z191=1,AR191=1,AJ191=1),"淘汰","通过"))</f>
        <v/>
      </c>
      <c r="AV191" s="10">
        <f>IF($A191="","",IF(OR(AA191=1,AR191=1,AND(AK191=1,AI191=1),AO191=1),"淘汰","通过"))</f>
        <v/>
      </c>
      <c r="AW191" s="24">
        <f>IF($A191="","",IF(AU191="淘汰","",ROUND(SUMPRODUCT(Z191:AT191,Z$2:AT$2)/5,1)))</f>
        <v/>
      </c>
      <c r="AX191" s="24">
        <f>IF($A191="","",IF(AV191="淘汰","",ROUND(SUMPRODUCT(Z191:AT191,Z$3:AT$3)/5,1)))</f>
        <v/>
      </c>
    </row>
    <row r="192" ht="15.75" customHeight="1" s="25">
      <c r="A192" s="22" t="n"/>
      <c r="B192" s="20" t="n"/>
      <c r="C192" s="22" t="n"/>
      <c r="D192" s="22" t="n"/>
      <c r="E192" s="22" t="n"/>
      <c r="F192" s="22" t="n"/>
      <c r="G192" s="21" t="n"/>
      <c r="H192" s="21" t="n"/>
      <c r="I192" s="21" t="n"/>
      <c r="J192" s="21" t="n"/>
      <c r="K192" s="21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3">
        <f>IF(E192="","",IF('分位数阈值'!$D$2="","",IFS(E192&gt;='分位数阈值'!$D$2,5,E192&gt;='分位数阈值'!$E$2,4,E192&gt;='分位数阈值'!$F$2,3,E192&gt;='分位数阈值'!$G$2,2,TRUE,1)))</f>
        <v/>
      </c>
      <c r="AA192" s="23">
        <f>IF(F192="","",IF('分位数阈值'!$D$3="","",IFS(F192&gt;='分位数阈值'!$D$3,5,F192&gt;='分位数阈值'!$E$3,4,F192&gt;='分位数阈值'!$F$3,3,F192&gt;='分位数阈值'!$G$3,2,TRUE,1)))</f>
        <v/>
      </c>
      <c r="AB192" s="23">
        <f>IF(G192="","",IF('分位数阈值'!$D$4="","",IFS(G192&gt;='分位数阈值'!$D$4,5,G192&gt;='分位数阈值'!$E$4,4,G192&gt;='分位数阈值'!$F$4,3,G192&gt;='分位数阈值'!$G$4,2,TRUE,1)))</f>
        <v/>
      </c>
      <c r="AC192" s="23">
        <f>IF(H192="","",IF('分位数阈值'!$D$5="","",IFS(H192&gt;='分位数阈值'!$D$5,5,H192&gt;='分位数阈值'!$E$5,4,H192&gt;='分位数阈值'!$F$5,3,H192&gt;='分位数阈值'!$G$5,2,TRUE,1)))</f>
        <v/>
      </c>
      <c r="AD192" s="23">
        <f>IF(I192="","",IF('分位数阈值'!$D$6="","",IFS(I192&gt;='分位数阈值'!$D$6,5,I192&gt;='分位数阈值'!$E$6,4,I192&gt;='分位数阈值'!$F$6,3,I192&gt;='分位数阈值'!$G$6,2,TRUE,1)))</f>
        <v/>
      </c>
      <c r="AE192" s="23">
        <f>IF(J192="","",IF('分位数阈值'!$D$7="","",IFS(J192&gt;='分位数阈值'!$D$7,5,J192&gt;='分位数阈值'!$E$7,4,J192&gt;='分位数阈值'!$F$7,3,J192&gt;='分位数阈值'!$G$7,2,TRUE,1)))</f>
        <v/>
      </c>
      <c r="AF192" s="23">
        <f>IF(K192="","",IF('分位数阈值'!$D$8="","",IFS(K192&gt;='分位数阈值'!$D$8,5,K192&gt;='分位数阈值'!$E$8,4,K192&gt;='分位数阈值'!$F$8,3,K192&gt;='分位数阈值'!$G$8,2,TRUE,1)))</f>
        <v/>
      </c>
      <c r="AG192" s="23">
        <f>IF(L192="","",IF('分位数阈值'!$D$9="","",IFS(L192&gt;='分位数阈值'!$D$9,5,L192&gt;='分位数阈值'!$E$9,4,L192&gt;='分位数阈值'!$F$9,3,L192&gt;='分位数阈值'!$G$9,2,TRUE,1)))</f>
        <v/>
      </c>
      <c r="AH192" s="23">
        <f>IF(M192="","",IF('分位数阈值'!$D$10="","",IFS(M192&lt;='分位数阈值'!$G$10,5,M192&lt;='分位数阈值'!$F$10,4,M192&lt;='分位数阈值'!$E$10,3,M192&lt;='分位数阈值'!$D$10,2,TRUE,1)))</f>
        <v/>
      </c>
      <c r="AI192" s="23">
        <f>IF(N192="","",IF('分位数阈值'!$D$11="","",IFS(N192&lt;='分位数阈值'!$G$11,5,N192&lt;='分位数阈值'!$F$11,4,N192&lt;='分位数阈值'!$E$11,3,N192&lt;='分位数阈值'!$D$11,2,TRUE,1)))</f>
        <v/>
      </c>
      <c r="AJ192" s="23">
        <f>IF(P192="","",IF(P192=1,1,5))</f>
        <v/>
      </c>
      <c r="AK192" s="23">
        <f>IF(Q192="","",IF(Q192=1,1,5))</f>
        <v/>
      </c>
      <c r="AL192" s="23">
        <f>IF(O192="","",IF('分位数阈值'!$D$12="","",IFS(O192&gt;='分位数阈值'!$D$12,5,O192&gt;='分位数阈值'!$E$12,4,O192&gt;='分位数阈值'!$F$12,3,O192&gt;='分位数阈值'!$G$12,2,TRUE,1)))</f>
        <v/>
      </c>
      <c r="AM192" s="23">
        <f>IF(R192="","",IF('分位数阈值'!$D$13="","",IFS(R192&lt;='分位数阈值'!$G$13,5,R192&lt;='分位数阈值'!$F$13,4,R192&lt;='分位数阈值'!$E$13,3,R192&lt;='分位数阈值'!$D$13,2,TRUE,1)))</f>
        <v/>
      </c>
      <c r="AN192" s="23">
        <f>IF(S192="","",IF('分位数阈值'!$D$14="","",IFS(S192&lt;='分位数阈值'!$G$14,5,S192&lt;='分位数阈值'!$F$14,4,S192&lt;='分位数阈值'!$E$14,3,S192&lt;='分位数阈值'!$D$14,2,TRUE,1)))</f>
        <v/>
      </c>
      <c r="AO192" s="23">
        <f>IF(T192="","",IF('分位数阈值'!$D$15="","",IFS(T192&lt;='分位数阈值'!$G$15,5,T192&lt;='分位数阈值'!$F$15,4,T192&lt;='分位数阈值'!$E$15,3,T192&lt;='分位数阈值'!$D$15,2,TRUE,1)))</f>
        <v/>
      </c>
      <c r="AP192" s="23">
        <f>IF(U192="","",IF(U192=1,5,1))</f>
        <v/>
      </c>
      <c r="AQ192" s="23">
        <f>IF(V192="","",V192)</f>
        <v/>
      </c>
      <c r="AR192" s="23">
        <f>IF(W192="","",IF('分位数阈值'!$D$16="","",IFS(W192&lt;='分位数阈值'!$G$16,5,W192&lt;='分位数阈值'!$F$16,4,W192&lt;='分位数阈值'!$E$16,3,W192&lt;='分位数阈值'!$D$16,2,TRUE,1)))</f>
        <v/>
      </c>
      <c r="AS192" s="23">
        <f>IF(X192="","",X192)</f>
        <v/>
      </c>
      <c r="AT192" s="23">
        <f>IF(Y192="","",Y192)</f>
        <v/>
      </c>
      <c r="AU192" s="10">
        <f>IF($A192="","",IF(OR(Z192=1,AR192=1,AJ192=1),"淘汰","通过"))</f>
        <v/>
      </c>
      <c r="AV192" s="10">
        <f>IF($A192="","",IF(OR(AA192=1,AR192=1,AND(AK192=1,AI192=1),AO192=1),"淘汰","通过"))</f>
        <v/>
      </c>
      <c r="AW192" s="24">
        <f>IF($A192="","",IF(AU192="淘汰","",ROUND(SUMPRODUCT(Z192:AT192,Z$2:AT$2)/5,1)))</f>
        <v/>
      </c>
      <c r="AX192" s="24">
        <f>IF($A192="","",IF(AV192="淘汰","",ROUND(SUMPRODUCT(Z192:AT192,Z$3:AT$3)/5,1)))</f>
        <v/>
      </c>
    </row>
    <row r="193" ht="15.75" customHeight="1" s="25">
      <c r="A193" s="22" t="n"/>
      <c r="B193" s="20" t="n"/>
      <c r="C193" s="22" t="n"/>
      <c r="D193" s="22" t="n"/>
      <c r="E193" s="22" t="n"/>
      <c r="F193" s="22" t="n"/>
      <c r="G193" s="21" t="n"/>
      <c r="H193" s="21" t="n"/>
      <c r="I193" s="21" t="n"/>
      <c r="J193" s="21" t="n"/>
      <c r="K193" s="21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3">
        <f>IF(E193="","",IF('分位数阈值'!$D$2="","",IFS(E193&gt;='分位数阈值'!$D$2,5,E193&gt;='分位数阈值'!$E$2,4,E193&gt;='分位数阈值'!$F$2,3,E193&gt;='分位数阈值'!$G$2,2,TRUE,1)))</f>
        <v/>
      </c>
      <c r="AA193" s="23">
        <f>IF(F193="","",IF('分位数阈值'!$D$3="","",IFS(F193&gt;='分位数阈值'!$D$3,5,F193&gt;='分位数阈值'!$E$3,4,F193&gt;='分位数阈值'!$F$3,3,F193&gt;='分位数阈值'!$G$3,2,TRUE,1)))</f>
        <v/>
      </c>
      <c r="AB193" s="23">
        <f>IF(G193="","",IF('分位数阈值'!$D$4="","",IFS(G193&gt;='分位数阈值'!$D$4,5,G193&gt;='分位数阈值'!$E$4,4,G193&gt;='分位数阈值'!$F$4,3,G193&gt;='分位数阈值'!$G$4,2,TRUE,1)))</f>
        <v/>
      </c>
      <c r="AC193" s="23">
        <f>IF(H193="","",IF('分位数阈值'!$D$5="","",IFS(H193&gt;='分位数阈值'!$D$5,5,H193&gt;='分位数阈值'!$E$5,4,H193&gt;='分位数阈值'!$F$5,3,H193&gt;='分位数阈值'!$G$5,2,TRUE,1)))</f>
        <v/>
      </c>
      <c r="AD193" s="23">
        <f>IF(I193="","",IF('分位数阈值'!$D$6="","",IFS(I193&gt;='分位数阈值'!$D$6,5,I193&gt;='分位数阈值'!$E$6,4,I193&gt;='分位数阈值'!$F$6,3,I193&gt;='分位数阈值'!$G$6,2,TRUE,1)))</f>
        <v/>
      </c>
      <c r="AE193" s="23">
        <f>IF(J193="","",IF('分位数阈值'!$D$7="","",IFS(J193&gt;='分位数阈值'!$D$7,5,J193&gt;='分位数阈值'!$E$7,4,J193&gt;='分位数阈值'!$F$7,3,J193&gt;='分位数阈值'!$G$7,2,TRUE,1)))</f>
        <v/>
      </c>
      <c r="AF193" s="23">
        <f>IF(K193="","",IF('分位数阈值'!$D$8="","",IFS(K193&gt;='分位数阈值'!$D$8,5,K193&gt;='分位数阈值'!$E$8,4,K193&gt;='分位数阈值'!$F$8,3,K193&gt;='分位数阈值'!$G$8,2,TRUE,1)))</f>
        <v/>
      </c>
      <c r="AG193" s="23">
        <f>IF(L193="","",IF('分位数阈值'!$D$9="","",IFS(L193&gt;='分位数阈值'!$D$9,5,L193&gt;='分位数阈值'!$E$9,4,L193&gt;='分位数阈值'!$F$9,3,L193&gt;='分位数阈值'!$G$9,2,TRUE,1)))</f>
        <v/>
      </c>
      <c r="AH193" s="23">
        <f>IF(M193="","",IF('分位数阈值'!$D$10="","",IFS(M193&lt;='分位数阈值'!$G$10,5,M193&lt;='分位数阈值'!$F$10,4,M193&lt;='分位数阈值'!$E$10,3,M193&lt;='分位数阈值'!$D$10,2,TRUE,1)))</f>
        <v/>
      </c>
      <c r="AI193" s="23">
        <f>IF(N193="","",IF('分位数阈值'!$D$11="","",IFS(N193&lt;='分位数阈值'!$G$11,5,N193&lt;='分位数阈值'!$F$11,4,N193&lt;='分位数阈值'!$E$11,3,N193&lt;='分位数阈值'!$D$11,2,TRUE,1)))</f>
        <v/>
      </c>
      <c r="AJ193" s="23">
        <f>IF(P193="","",IF(P193=1,1,5))</f>
        <v/>
      </c>
      <c r="AK193" s="23">
        <f>IF(Q193="","",IF(Q193=1,1,5))</f>
        <v/>
      </c>
      <c r="AL193" s="23">
        <f>IF(O193="","",IF('分位数阈值'!$D$12="","",IFS(O193&gt;='分位数阈值'!$D$12,5,O193&gt;='分位数阈值'!$E$12,4,O193&gt;='分位数阈值'!$F$12,3,O193&gt;='分位数阈值'!$G$12,2,TRUE,1)))</f>
        <v/>
      </c>
      <c r="AM193" s="23">
        <f>IF(R193="","",IF('分位数阈值'!$D$13="","",IFS(R193&lt;='分位数阈值'!$G$13,5,R193&lt;='分位数阈值'!$F$13,4,R193&lt;='分位数阈值'!$E$13,3,R193&lt;='分位数阈值'!$D$13,2,TRUE,1)))</f>
        <v/>
      </c>
      <c r="AN193" s="23">
        <f>IF(S193="","",IF('分位数阈值'!$D$14="","",IFS(S193&lt;='分位数阈值'!$G$14,5,S193&lt;='分位数阈值'!$F$14,4,S193&lt;='分位数阈值'!$E$14,3,S193&lt;='分位数阈值'!$D$14,2,TRUE,1)))</f>
        <v/>
      </c>
      <c r="AO193" s="23">
        <f>IF(T193="","",IF('分位数阈值'!$D$15="","",IFS(T193&lt;='分位数阈值'!$G$15,5,T193&lt;='分位数阈值'!$F$15,4,T193&lt;='分位数阈值'!$E$15,3,T193&lt;='分位数阈值'!$D$15,2,TRUE,1)))</f>
        <v/>
      </c>
      <c r="AP193" s="23">
        <f>IF(U193="","",IF(U193=1,5,1))</f>
        <v/>
      </c>
      <c r="AQ193" s="23">
        <f>IF(V193="","",V193)</f>
        <v/>
      </c>
      <c r="AR193" s="23">
        <f>IF(W193="","",IF('分位数阈值'!$D$16="","",IFS(W193&lt;='分位数阈值'!$G$16,5,W193&lt;='分位数阈值'!$F$16,4,W193&lt;='分位数阈值'!$E$16,3,W193&lt;='分位数阈值'!$D$16,2,TRUE,1)))</f>
        <v/>
      </c>
      <c r="AS193" s="23">
        <f>IF(X193="","",X193)</f>
        <v/>
      </c>
      <c r="AT193" s="23">
        <f>IF(Y193="","",Y193)</f>
        <v/>
      </c>
      <c r="AU193" s="10">
        <f>IF($A193="","",IF(OR(Z193=1,AR193=1,AJ193=1),"淘汰","通过"))</f>
        <v/>
      </c>
      <c r="AV193" s="10">
        <f>IF($A193="","",IF(OR(AA193=1,AR193=1,AND(AK193=1,AI193=1),AO193=1),"淘汰","通过"))</f>
        <v/>
      </c>
      <c r="AW193" s="24">
        <f>IF($A193="","",IF(AU193="淘汰","",ROUND(SUMPRODUCT(Z193:AT193,Z$2:AT$2)/5,1)))</f>
        <v/>
      </c>
      <c r="AX193" s="24">
        <f>IF($A193="","",IF(AV193="淘汰","",ROUND(SUMPRODUCT(Z193:AT193,Z$3:AT$3)/5,1)))</f>
        <v/>
      </c>
    </row>
    <row r="194" ht="15.75" customHeight="1" s="25">
      <c r="A194" s="22" t="n"/>
      <c r="B194" s="20" t="n"/>
      <c r="C194" s="22" t="n"/>
      <c r="D194" s="22" t="n"/>
      <c r="E194" s="22" t="n"/>
      <c r="F194" s="22" t="n"/>
      <c r="G194" s="21" t="n"/>
      <c r="H194" s="21" t="n"/>
      <c r="I194" s="21" t="n"/>
      <c r="J194" s="21" t="n"/>
      <c r="K194" s="21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3">
        <f>IF(E194="","",IF('分位数阈值'!$D$2="","",IFS(E194&gt;='分位数阈值'!$D$2,5,E194&gt;='分位数阈值'!$E$2,4,E194&gt;='分位数阈值'!$F$2,3,E194&gt;='分位数阈值'!$G$2,2,TRUE,1)))</f>
        <v/>
      </c>
      <c r="AA194" s="23">
        <f>IF(F194="","",IF('分位数阈值'!$D$3="","",IFS(F194&gt;='分位数阈值'!$D$3,5,F194&gt;='分位数阈值'!$E$3,4,F194&gt;='分位数阈值'!$F$3,3,F194&gt;='分位数阈值'!$G$3,2,TRUE,1)))</f>
        <v/>
      </c>
      <c r="AB194" s="23">
        <f>IF(G194="","",IF('分位数阈值'!$D$4="","",IFS(G194&gt;='分位数阈值'!$D$4,5,G194&gt;='分位数阈值'!$E$4,4,G194&gt;='分位数阈值'!$F$4,3,G194&gt;='分位数阈值'!$G$4,2,TRUE,1)))</f>
        <v/>
      </c>
      <c r="AC194" s="23">
        <f>IF(H194="","",IF('分位数阈值'!$D$5="","",IFS(H194&gt;='分位数阈值'!$D$5,5,H194&gt;='分位数阈值'!$E$5,4,H194&gt;='分位数阈值'!$F$5,3,H194&gt;='分位数阈值'!$G$5,2,TRUE,1)))</f>
        <v/>
      </c>
      <c r="AD194" s="23">
        <f>IF(I194="","",IF('分位数阈值'!$D$6="","",IFS(I194&gt;='分位数阈值'!$D$6,5,I194&gt;='分位数阈值'!$E$6,4,I194&gt;='分位数阈值'!$F$6,3,I194&gt;='分位数阈值'!$G$6,2,TRUE,1)))</f>
        <v/>
      </c>
      <c r="AE194" s="23">
        <f>IF(J194="","",IF('分位数阈值'!$D$7="","",IFS(J194&gt;='分位数阈值'!$D$7,5,J194&gt;='分位数阈值'!$E$7,4,J194&gt;='分位数阈值'!$F$7,3,J194&gt;='分位数阈值'!$G$7,2,TRUE,1)))</f>
        <v/>
      </c>
      <c r="AF194" s="23">
        <f>IF(K194="","",IF('分位数阈值'!$D$8="","",IFS(K194&gt;='分位数阈值'!$D$8,5,K194&gt;='分位数阈值'!$E$8,4,K194&gt;='分位数阈值'!$F$8,3,K194&gt;='分位数阈值'!$G$8,2,TRUE,1)))</f>
        <v/>
      </c>
      <c r="AG194" s="23">
        <f>IF(L194="","",IF('分位数阈值'!$D$9="","",IFS(L194&gt;='分位数阈值'!$D$9,5,L194&gt;='分位数阈值'!$E$9,4,L194&gt;='分位数阈值'!$F$9,3,L194&gt;='分位数阈值'!$G$9,2,TRUE,1)))</f>
        <v/>
      </c>
      <c r="AH194" s="23">
        <f>IF(M194="","",IF('分位数阈值'!$D$10="","",IFS(M194&lt;='分位数阈值'!$G$10,5,M194&lt;='分位数阈值'!$F$10,4,M194&lt;='分位数阈值'!$E$10,3,M194&lt;='分位数阈值'!$D$10,2,TRUE,1)))</f>
        <v/>
      </c>
      <c r="AI194" s="23">
        <f>IF(N194="","",IF('分位数阈值'!$D$11="","",IFS(N194&lt;='分位数阈值'!$G$11,5,N194&lt;='分位数阈值'!$F$11,4,N194&lt;='分位数阈值'!$E$11,3,N194&lt;='分位数阈值'!$D$11,2,TRUE,1)))</f>
        <v/>
      </c>
      <c r="AJ194" s="23">
        <f>IF(P194="","",IF(P194=1,1,5))</f>
        <v/>
      </c>
      <c r="AK194" s="23">
        <f>IF(Q194="","",IF(Q194=1,1,5))</f>
        <v/>
      </c>
      <c r="AL194" s="23">
        <f>IF(O194="","",IF('分位数阈值'!$D$12="","",IFS(O194&gt;='分位数阈值'!$D$12,5,O194&gt;='分位数阈值'!$E$12,4,O194&gt;='分位数阈值'!$F$12,3,O194&gt;='分位数阈值'!$G$12,2,TRUE,1)))</f>
        <v/>
      </c>
      <c r="AM194" s="23">
        <f>IF(R194="","",IF('分位数阈值'!$D$13="","",IFS(R194&lt;='分位数阈值'!$G$13,5,R194&lt;='分位数阈值'!$F$13,4,R194&lt;='分位数阈值'!$E$13,3,R194&lt;='分位数阈值'!$D$13,2,TRUE,1)))</f>
        <v/>
      </c>
      <c r="AN194" s="23">
        <f>IF(S194="","",IF('分位数阈值'!$D$14="","",IFS(S194&lt;='分位数阈值'!$G$14,5,S194&lt;='分位数阈值'!$F$14,4,S194&lt;='分位数阈值'!$E$14,3,S194&lt;='分位数阈值'!$D$14,2,TRUE,1)))</f>
        <v/>
      </c>
      <c r="AO194" s="23">
        <f>IF(T194="","",IF('分位数阈值'!$D$15="","",IFS(T194&lt;='分位数阈值'!$G$15,5,T194&lt;='分位数阈值'!$F$15,4,T194&lt;='分位数阈值'!$E$15,3,T194&lt;='分位数阈值'!$D$15,2,TRUE,1)))</f>
        <v/>
      </c>
      <c r="AP194" s="23">
        <f>IF(U194="","",IF(U194=1,5,1))</f>
        <v/>
      </c>
      <c r="AQ194" s="23">
        <f>IF(V194="","",V194)</f>
        <v/>
      </c>
      <c r="AR194" s="23">
        <f>IF(W194="","",IF('分位数阈值'!$D$16="","",IFS(W194&lt;='分位数阈值'!$G$16,5,W194&lt;='分位数阈值'!$F$16,4,W194&lt;='分位数阈值'!$E$16,3,W194&lt;='分位数阈值'!$D$16,2,TRUE,1)))</f>
        <v/>
      </c>
      <c r="AS194" s="23">
        <f>IF(X194="","",X194)</f>
        <v/>
      </c>
      <c r="AT194" s="23">
        <f>IF(Y194="","",Y194)</f>
        <v/>
      </c>
      <c r="AU194" s="10">
        <f>IF($A194="","",IF(OR(Z194=1,AR194=1,AJ194=1),"淘汰","通过"))</f>
        <v/>
      </c>
      <c r="AV194" s="10">
        <f>IF($A194="","",IF(OR(AA194=1,AR194=1,AND(AK194=1,AI194=1),AO194=1),"淘汰","通过"))</f>
        <v/>
      </c>
      <c r="AW194" s="24">
        <f>IF($A194="","",IF(AU194="淘汰","",ROUND(SUMPRODUCT(Z194:AT194,Z$2:AT$2)/5,1)))</f>
        <v/>
      </c>
      <c r="AX194" s="24">
        <f>IF($A194="","",IF(AV194="淘汰","",ROUND(SUMPRODUCT(Z194:AT194,Z$3:AT$3)/5,1)))</f>
        <v/>
      </c>
    </row>
    <row r="195" ht="15.75" customHeight="1" s="25">
      <c r="A195" s="22" t="n"/>
      <c r="B195" s="20" t="n"/>
      <c r="C195" s="22" t="n"/>
      <c r="D195" s="22" t="n"/>
      <c r="E195" s="22" t="n"/>
      <c r="F195" s="22" t="n"/>
      <c r="G195" s="21" t="n"/>
      <c r="H195" s="21" t="n"/>
      <c r="I195" s="21" t="n"/>
      <c r="J195" s="21" t="n"/>
      <c r="K195" s="21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3">
        <f>IF(E195="","",IF('分位数阈值'!$D$2="","",IFS(E195&gt;='分位数阈值'!$D$2,5,E195&gt;='分位数阈值'!$E$2,4,E195&gt;='分位数阈值'!$F$2,3,E195&gt;='分位数阈值'!$G$2,2,TRUE,1)))</f>
        <v/>
      </c>
      <c r="AA195" s="23">
        <f>IF(F195="","",IF('分位数阈值'!$D$3="","",IFS(F195&gt;='分位数阈值'!$D$3,5,F195&gt;='分位数阈值'!$E$3,4,F195&gt;='分位数阈值'!$F$3,3,F195&gt;='分位数阈值'!$G$3,2,TRUE,1)))</f>
        <v/>
      </c>
      <c r="AB195" s="23">
        <f>IF(G195="","",IF('分位数阈值'!$D$4="","",IFS(G195&gt;='分位数阈值'!$D$4,5,G195&gt;='分位数阈值'!$E$4,4,G195&gt;='分位数阈值'!$F$4,3,G195&gt;='分位数阈值'!$G$4,2,TRUE,1)))</f>
        <v/>
      </c>
      <c r="AC195" s="23">
        <f>IF(H195="","",IF('分位数阈值'!$D$5="","",IFS(H195&gt;='分位数阈值'!$D$5,5,H195&gt;='分位数阈值'!$E$5,4,H195&gt;='分位数阈值'!$F$5,3,H195&gt;='分位数阈值'!$G$5,2,TRUE,1)))</f>
        <v/>
      </c>
      <c r="AD195" s="23">
        <f>IF(I195="","",IF('分位数阈值'!$D$6="","",IFS(I195&gt;='分位数阈值'!$D$6,5,I195&gt;='分位数阈值'!$E$6,4,I195&gt;='分位数阈值'!$F$6,3,I195&gt;='分位数阈值'!$G$6,2,TRUE,1)))</f>
        <v/>
      </c>
      <c r="AE195" s="23">
        <f>IF(J195="","",IF('分位数阈值'!$D$7="","",IFS(J195&gt;='分位数阈值'!$D$7,5,J195&gt;='分位数阈值'!$E$7,4,J195&gt;='分位数阈值'!$F$7,3,J195&gt;='分位数阈值'!$G$7,2,TRUE,1)))</f>
        <v/>
      </c>
      <c r="AF195" s="23">
        <f>IF(K195="","",IF('分位数阈值'!$D$8="","",IFS(K195&gt;='分位数阈值'!$D$8,5,K195&gt;='分位数阈值'!$E$8,4,K195&gt;='分位数阈值'!$F$8,3,K195&gt;='分位数阈值'!$G$8,2,TRUE,1)))</f>
        <v/>
      </c>
      <c r="AG195" s="23">
        <f>IF(L195="","",IF('分位数阈值'!$D$9="","",IFS(L195&gt;='分位数阈值'!$D$9,5,L195&gt;='分位数阈值'!$E$9,4,L195&gt;='分位数阈值'!$F$9,3,L195&gt;='分位数阈值'!$G$9,2,TRUE,1)))</f>
        <v/>
      </c>
      <c r="AH195" s="23">
        <f>IF(M195="","",IF('分位数阈值'!$D$10="","",IFS(M195&lt;='分位数阈值'!$G$10,5,M195&lt;='分位数阈值'!$F$10,4,M195&lt;='分位数阈值'!$E$10,3,M195&lt;='分位数阈值'!$D$10,2,TRUE,1)))</f>
        <v/>
      </c>
      <c r="AI195" s="23">
        <f>IF(N195="","",IF('分位数阈值'!$D$11="","",IFS(N195&lt;='分位数阈值'!$G$11,5,N195&lt;='分位数阈值'!$F$11,4,N195&lt;='分位数阈值'!$E$11,3,N195&lt;='分位数阈值'!$D$11,2,TRUE,1)))</f>
        <v/>
      </c>
      <c r="AJ195" s="23">
        <f>IF(P195="","",IF(P195=1,1,5))</f>
        <v/>
      </c>
      <c r="AK195" s="23">
        <f>IF(Q195="","",IF(Q195=1,1,5))</f>
        <v/>
      </c>
      <c r="AL195" s="23">
        <f>IF(O195="","",IF('分位数阈值'!$D$12="","",IFS(O195&gt;='分位数阈值'!$D$12,5,O195&gt;='分位数阈值'!$E$12,4,O195&gt;='分位数阈值'!$F$12,3,O195&gt;='分位数阈值'!$G$12,2,TRUE,1)))</f>
        <v/>
      </c>
      <c r="AM195" s="23">
        <f>IF(R195="","",IF('分位数阈值'!$D$13="","",IFS(R195&lt;='分位数阈值'!$G$13,5,R195&lt;='分位数阈值'!$F$13,4,R195&lt;='分位数阈值'!$E$13,3,R195&lt;='分位数阈值'!$D$13,2,TRUE,1)))</f>
        <v/>
      </c>
      <c r="AN195" s="23">
        <f>IF(S195="","",IF('分位数阈值'!$D$14="","",IFS(S195&lt;='分位数阈值'!$G$14,5,S195&lt;='分位数阈值'!$F$14,4,S195&lt;='分位数阈值'!$E$14,3,S195&lt;='分位数阈值'!$D$14,2,TRUE,1)))</f>
        <v/>
      </c>
      <c r="AO195" s="23">
        <f>IF(T195="","",IF('分位数阈值'!$D$15="","",IFS(T195&lt;='分位数阈值'!$G$15,5,T195&lt;='分位数阈值'!$F$15,4,T195&lt;='分位数阈值'!$E$15,3,T195&lt;='分位数阈值'!$D$15,2,TRUE,1)))</f>
        <v/>
      </c>
      <c r="AP195" s="23">
        <f>IF(U195="","",IF(U195=1,5,1))</f>
        <v/>
      </c>
      <c r="AQ195" s="23">
        <f>IF(V195="","",V195)</f>
        <v/>
      </c>
      <c r="AR195" s="23">
        <f>IF(W195="","",IF('分位数阈值'!$D$16="","",IFS(W195&lt;='分位数阈值'!$G$16,5,W195&lt;='分位数阈值'!$F$16,4,W195&lt;='分位数阈值'!$E$16,3,W195&lt;='分位数阈值'!$D$16,2,TRUE,1)))</f>
        <v/>
      </c>
      <c r="AS195" s="23">
        <f>IF(X195="","",X195)</f>
        <v/>
      </c>
      <c r="AT195" s="23">
        <f>IF(Y195="","",Y195)</f>
        <v/>
      </c>
      <c r="AU195" s="10">
        <f>IF($A195="","",IF(OR(Z195=1,AR195=1,AJ195=1),"淘汰","通过"))</f>
        <v/>
      </c>
      <c r="AV195" s="10">
        <f>IF($A195="","",IF(OR(AA195=1,AR195=1,AND(AK195=1,AI195=1),AO195=1),"淘汰","通过"))</f>
        <v/>
      </c>
      <c r="AW195" s="24">
        <f>IF($A195="","",IF(AU195="淘汰","",ROUND(SUMPRODUCT(Z195:AT195,Z$2:AT$2)/5,1)))</f>
        <v/>
      </c>
      <c r="AX195" s="24">
        <f>IF($A195="","",IF(AV195="淘汰","",ROUND(SUMPRODUCT(Z195:AT195,Z$3:AT$3)/5,1)))</f>
        <v/>
      </c>
    </row>
    <row r="196" ht="15.75" customHeight="1" s="25">
      <c r="A196" s="22" t="n"/>
      <c r="B196" s="20" t="n"/>
      <c r="C196" s="22" t="n"/>
      <c r="D196" s="22" t="n"/>
      <c r="E196" s="22" t="n"/>
      <c r="F196" s="22" t="n"/>
      <c r="G196" s="21" t="n"/>
      <c r="H196" s="21" t="n"/>
      <c r="I196" s="21" t="n"/>
      <c r="J196" s="21" t="n"/>
      <c r="K196" s="21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3">
        <f>IF(E196="","",IF('分位数阈值'!$D$2="","",IFS(E196&gt;='分位数阈值'!$D$2,5,E196&gt;='分位数阈值'!$E$2,4,E196&gt;='分位数阈值'!$F$2,3,E196&gt;='分位数阈值'!$G$2,2,TRUE,1)))</f>
        <v/>
      </c>
      <c r="AA196" s="23">
        <f>IF(F196="","",IF('分位数阈值'!$D$3="","",IFS(F196&gt;='分位数阈值'!$D$3,5,F196&gt;='分位数阈值'!$E$3,4,F196&gt;='分位数阈值'!$F$3,3,F196&gt;='分位数阈值'!$G$3,2,TRUE,1)))</f>
        <v/>
      </c>
      <c r="AB196" s="23">
        <f>IF(G196="","",IF('分位数阈值'!$D$4="","",IFS(G196&gt;='分位数阈值'!$D$4,5,G196&gt;='分位数阈值'!$E$4,4,G196&gt;='分位数阈值'!$F$4,3,G196&gt;='分位数阈值'!$G$4,2,TRUE,1)))</f>
        <v/>
      </c>
      <c r="AC196" s="23">
        <f>IF(H196="","",IF('分位数阈值'!$D$5="","",IFS(H196&gt;='分位数阈值'!$D$5,5,H196&gt;='分位数阈值'!$E$5,4,H196&gt;='分位数阈值'!$F$5,3,H196&gt;='分位数阈值'!$G$5,2,TRUE,1)))</f>
        <v/>
      </c>
      <c r="AD196" s="23">
        <f>IF(I196="","",IF('分位数阈值'!$D$6="","",IFS(I196&gt;='分位数阈值'!$D$6,5,I196&gt;='分位数阈值'!$E$6,4,I196&gt;='分位数阈值'!$F$6,3,I196&gt;='分位数阈值'!$G$6,2,TRUE,1)))</f>
        <v/>
      </c>
      <c r="AE196" s="23">
        <f>IF(J196="","",IF('分位数阈值'!$D$7="","",IFS(J196&gt;='分位数阈值'!$D$7,5,J196&gt;='分位数阈值'!$E$7,4,J196&gt;='分位数阈值'!$F$7,3,J196&gt;='分位数阈值'!$G$7,2,TRUE,1)))</f>
        <v/>
      </c>
      <c r="AF196" s="23">
        <f>IF(K196="","",IF('分位数阈值'!$D$8="","",IFS(K196&gt;='分位数阈值'!$D$8,5,K196&gt;='分位数阈值'!$E$8,4,K196&gt;='分位数阈值'!$F$8,3,K196&gt;='分位数阈值'!$G$8,2,TRUE,1)))</f>
        <v/>
      </c>
      <c r="AG196" s="23">
        <f>IF(L196="","",IF('分位数阈值'!$D$9="","",IFS(L196&gt;='分位数阈值'!$D$9,5,L196&gt;='分位数阈值'!$E$9,4,L196&gt;='分位数阈值'!$F$9,3,L196&gt;='分位数阈值'!$G$9,2,TRUE,1)))</f>
        <v/>
      </c>
      <c r="AH196" s="23">
        <f>IF(M196="","",IF('分位数阈值'!$D$10="","",IFS(M196&lt;='分位数阈值'!$G$10,5,M196&lt;='分位数阈值'!$F$10,4,M196&lt;='分位数阈值'!$E$10,3,M196&lt;='分位数阈值'!$D$10,2,TRUE,1)))</f>
        <v/>
      </c>
      <c r="AI196" s="23">
        <f>IF(N196="","",IF('分位数阈值'!$D$11="","",IFS(N196&lt;='分位数阈值'!$G$11,5,N196&lt;='分位数阈值'!$F$11,4,N196&lt;='分位数阈值'!$E$11,3,N196&lt;='分位数阈值'!$D$11,2,TRUE,1)))</f>
        <v/>
      </c>
      <c r="AJ196" s="23">
        <f>IF(P196="","",IF(P196=1,1,5))</f>
        <v/>
      </c>
      <c r="AK196" s="23">
        <f>IF(Q196="","",IF(Q196=1,1,5))</f>
        <v/>
      </c>
      <c r="AL196" s="23">
        <f>IF(O196="","",IF('分位数阈值'!$D$12="","",IFS(O196&gt;='分位数阈值'!$D$12,5,O196&gt;='分位数阈值'!$E$12,4,O196&gt;='分位数阈值'!$F$12,3,O196&gt;='分位数阈值'!$G$12,2,TRUE,1)))</f>
        <v/>
      </c>
      <c r="AM196" s="23">
        <f>IF(R196="","",IF('分位数阈值'!$D$13="","",IFS(R196&lt;='分位数阈值'!$G$13,5,R196&lt;='分位数阈值'!$F$13,4,R196&lt;='分位数阈值'!$E$13,3,R196&lt;='分位数阈值'!$D$13,2,TRUE,1)))</f>
        <v/>
      </c>
      <c r="AN196" s="23">
        <f>IF(S196="","",IF('分位数阈值'!$D$14="","",IFS(S196&lt;='分位数阈值'!$G$14,5,S196&lt;='分位数阈值'!$F$14,4,S196&lt;='分位数阈值'!$E$14,3,S196&lt;='分位数阈值'!$D$14,2,TRUE,1)))</f>
        <v/>
      </c>
      <c r="AO196" s="23">
        <f>IF(T196="","",IF('分位数阈值'!$D$15="","",IFS(T196&lt;='分位数阈值'!$G$15,5,T196&lt;='分位数阈值'!$F$15,4,T196&lt;='分位数阈值'!$E$15,3,T196&lt;='分位数阈值'!$D$15,2,TRUE,1)))</f>
        <v/>
      </c>
      <c r="AP196" s="23">
        <f>IF(U196="","",IF(U196=1,5,1))</f>
        <v/>
      </c>
      <c r="AQ196" s="23">
        <f>IF(V196="","",V196)</f>
        <v/>
      </c>
      <c r="AR196" s="23">
        <f>IF(W196="","",IF('分位数阈值'!$D$16="","",IFS(W196&lt;='分位数阈值'!$G$16,5,W196&lt;='分位数阈值'!$F$16,4,W196&lt;='分位数阈值'!$E$16,3,W196&lt;='分位数阈值'!$D$16,2,TRUE,1)))</f>
        <v/>
      </c>
      <c r="AS196" s="23">
        <f>IF(X196="","",X196)</f>
        <v/>
      </c>
      <c r="AT196" s="23">
        <f>IF(Y196="","",Y196)</f>
        <v/>
      </c>
      <c r="AU196" s="10">
        <f>IF($A196="","",IF(OR(Z196=1,AR196=1,AJ196=1),"淘汰","通过"))</f>
        <v/>
      </c>
      <c r="AV196" s="10">
        <f>IF($A196="","",IF(OR(AA196=1,AR196=1,AND(AK196=1,AI196=1),AO196=1),"淘汰","通过"))</f>
        <v/>
      </c>
      <c r="AW196" s="24">
        <f>IF($A196="","",IF(AU196="淘汰","",ROUND(SUMPRODUCT(Z196:AT196,Z$2:AT$2)/5,1)))</f>
        <v/>
      </c>
      <c r="AX196" s="24">
        <f>IF($A196="","",IF(AV196="淘汰","",ROUND(SUMPRODUCT(Z196:AT196,Z$3:AT$3)/5,1)))</f>
        <v/>
      </c>
    </row>
    <row r="197" ht="15.75" customHeight="1" s="25">
      <c r="A197" s="22" t="n"/>
      <c r="B197" s="20" t="n"/>
      <c r="C197" s="22" t="n"/>
      <c r="D197" s="22" t="n"/>
      <c r="E197" s="22" t="n"/>
      <c r="F197" s="22" t="n"/>
      <c r="G197" s="21" t="n"/>
      <c r="H197" s="21" t="n"/>
      <c r="I197" s="21" t="n"/>
      <c r="J197" s="21" t="n"/>
      <c r="K197" s="21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3">
        <f>IF(E197="","",IF('分位数阈值'!$D$2="","",IFS(E197&gt;='分位数阈值'!$D$2,5,E197&gt;='分位数阈值'!$E$2,4,E197&gt;='分位数阈值'!$F$2,3,E197&gt;='分位数阈值'!$G$2,2,TRUE,1)))</f>
        <v/>
      </c>
      <c r="AA197" s="23">
        <f>IF(F197="","",IF('分位数阈值'!$D$3="","",IFS(F197&gt;='分位数阈值'!$D$3,5,F197&gt;='分位数阈值'!$E$3,4,F197&gt;='分位数阈值'!$F$3,3,F197&gt;='分位数阈值'!$G$3,2,TRUE,1)))</f>
        <v/>
      </c>
      <c r="AB197" s="23">
        <f>IF(G197="","",IF('分位数阈值'!$D$4="","",IFS(G197&gt;='分位数阈值'!$D$4,5,G197&gt;='分位数阈值'!$E$4,4,G197&gt;='分位数阈值'!$F$4,3,G197&gt;='分位数阈值'!$G$4,2,TRUE,1)))</f>
        <v/>
      </c>
      <c r="AC197" s="23">
        <f>IF(H197="","",IF('分位数阈值'!$D$5="","",IFS(H197&gt;='分位数阈值'!$D$5,5,H197&gt;='分位数阈值'!$E$5,4,H197&gt;='分位数阈值'!$F$5,3,H197&gt;='分位数阈值'!$G$5,2,TRUE,1)))</f>
        <v/>
      </c>
      <c r="AD197" s="23">
        <f>IF(I197="","",IF('分位数阈值'!$D$6="","",IFS(I197&gt;='分位数阈值'!$D$6,5,I197&gt;='分位数阈值'!$E$6,4,I197&gt;='分位数阈值'!$F$6,3,I197&gt;='分位数阈值'!$G$6,2,TRUE,1)))</f>
        <v/>
      </c>
      <c r="AE197" s="23">
        <f>IF(J197="","",IF('分位数阈值'!$D$7="","",IFS(J197&gt;='分位数阈值'!$D$7,5,J197&gt;='分位数阈值'!$E$7,4,J197&gt;='分位数阈值'!$F$7,3,J197&gt;='分位数阈值'!$G$7,2,TRUE,1)))</f>
        <v/>
      </c>
      <c r="AF197" s="23">
        <f>IF(K197="","",IF('分位数阈值'!$D$8="","",IFS(K197&gt;='分位数阈值'!$D$8,5,K197&gt;='分位数阈值'!$E$8,4,K197&gt;='分位数阈值'!$F$8,3,K197&gt;='分位数阈值'!$G$8,2,TRUE,1)))</f>
        <v/>
      </c>
      <c r="AG197" s="23">
        <f>IF(L197="","",IF('分位数阈值'!$D$9="","",IFS(L197&gt;='分位数阈值'!$D$9,5,L197&gt;='分位数阈值'!$E$9,4,L197&gt;='分位数阈值'!$F$9,3,L197&gt;='分位数阈值'!$G$9,2,TRUE,1)))</f>
        <v/>
      </c>
      <c r="AH197" s="23">
        <f>IF(M197="","",IF('分位数阈值'!$D$10="","",IFS(M197&lt;='分位数阈值'!$G$10,5,M197&lt;='分位数阈值'!$F$10,4,M197&lt;='分位数阈值'!$E$10,3,M197&lt;='分位数阈值'!$D$10,2,TRUE,1)))</f>
        <v/>
      </c>
      <c r="AI197" s="23">
        <f>IF(N197="","",IF('分位数阈值'!$D$11="","",IFS(N197&lt;='分位数阈值'!$G$11,5,N197&lt;='分位数阈值'!$F$11,4,N197&lt;='分位数阈值'!$E$11,3,N197&lt;='分位数阈值'!$D$11,2,TRUE,1)))</f>
        <v/>
      </c>
      <c r="AJ197" s="23">
        <f>IF(P197="","",IF(P197=1,1,5))</f>
        <v/>
      </c>
      <c r="AK197" s="23">
        <f>IF(Q197="","",IF(Q197=1,1,5))</f>
        <v/>
      </c>
      <c r="AL197" s="23">
        <f>IF(O197="","",IF('分位数阈值'!$D$12="","",IFS(O197&gt;='分位数阈值'!$D$12,5,O197&gt;='分位数阈值'!$E$12,4,O197&gt;='分位数阈值'!$F$12,3,O197&gt;='分位数阈值'!$G$12,2,TRUE,1)))</f>
        <v/>
      </c>
      <c r="AM197" s="23">
        <f>IF(R197="","",IF('分位数阈值'!$D$13="","",IFS(R197&lt;='分位数阈值'!$G$13,5,R197&lt;='分位数阈值'!$F$13,4,R197&lt;='分位数阈值'!$E$13,3,R197&lt;='分位数阈值'!$D$13,2,TRUE,1)))</f>
        <v/>
      </c>
      <c r="AN197" s="23">
        <f>IF(S197="","",IF('分位数阈值'!$D$14="","",IFS(S197&lt;='分位数阈值'!$G$14,5,S197&lt;='分位数阈值'!$F$14,4,S197&lt;='分位数阈值'!$E$14,3,S197&lt;='分位数阈值'!$D$14,2,TRUE,1)))</f>
        <v/>
      </c>
      <c r="AO197" s="23">
        <f>IF(T197="","",IF('分位数阈值'!$D$15="","",IFS(T197&lt;='分位数阈值'!$G$15,5,T197&lt;='分位数阈值'!$F$15,4,T197&lt;='分位数阈值'!$E$15,3,T197&lt;='分位数阈值'!$D$15,2,TRUE,1)))</f>
        <v/>
      </c>
      <c r="AP197" s="23">
        <f>IF(U197="","",IF(U197=1,5,1))</f>
        <v/>
      </c>
      <c r="AQ197" s="23">
        <f>IF(V197="","",V197)</f>
        <v/>
      </c>
      <c r="AR197" s="23">
        <f>IF(W197="","",IF('分位数阈值'!$D$16="","",IFS(W197&lt;='分位数阈值'!$G$16,5,W197&lt;='分位数阈值'!$F$16,4,W197&lt;='分位数阈值'!$E$16,3,W197&lt;='分位数阈值'!$D$16,2,TRUE,1)))</f>
        <v/>
      </c>
      <c r="AS197" s="23">
        <f>IF(X197="","",X197)</f>
        <v/>
      </c>
      <c r="AT197" s="23">
        <f>IF(Y197="","",Y197)</f>
        <v/>
      </c>
      <c r="AU197" s="10">
        <f>IF($A197="","",IF(OR(Z197=1,AR197=1,AJ197=1),"淘汰","通过"))</f>
        <v/>
      </c>
      <c r="AV197" s="10">
        <f>IF($A197="","",IF(OR(AA197=1,AR197=1,AND(AK197=1,AI197=1),AO197=1),"淘汰","通过"))</f>
        <v/>
      </c>
      <c r="AW197" s="24">
        <f>IF($A197="","",IF(AU197="淘汰","",ROUND(SUMPRODUCT(Z197:AT197,Z$2:AT$2)/5,1)))</f>
        <v/>
      </c>
      <c r="AX197" s="24">
        <f>IF($A197="","",IF(AV197="淘汰","",ROUND(SUMPRODUCT(Z197:AT197,Z$3:AT$3)/5,1)))</f>
        <v/>
      </c>
    </row>
    <row r="198" ht="15.75" customHeight="1" s="25">
      <c r="A198" s="22" t="n"/>
      <c r="B198" s="20" t="n"/>
      <c r="C198" s="22" t="n"/>
      <c r="D198" s="22" t="n"/>
      <c r="E198" s="22" t="n"/>
      <c r="F198" s="22" t="n"/>
      <c r="G198" s="21" t="n"/>
      <c r="H198" s="21" t="n"/>
      <c r="I198" s="21" t="n"/>
      <c r="J198" s="21" t="n"/>
      <c r="K198" s="21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3">
        <f>IF(E198="","",IF('分位数阈值'!$D$2="","",IFS(E198&gt;='分位数阈值'!$D$2,5,E198&gt;='分位数阈值'!$E$2,4,E198&gt;='分位数阈值'!$F$2,3,E198&gt;='分位数阈值'!$G$2,2,TRUE,1)))</f>
        <v/>
      </c>
      <c r="AA198" s="23">
        <f>IF(F198="","",IF('分位数阈值'!$D$3="","",IFS(F198&gt;='分位数阈值'!$D$3,5,F198&gt;='分位数阈值'!$E$3,4,F198&gt;='分位数阈值'!$F$3,3,F198&gt;='分位数阈值'!$G$3,2,TRUE,1)))</f>
        <v/>
      </c>
      <c r="AB198" s="23">
        <f>IF(G198="","",IF('分位数阈值'!$D$4="","",IFS(G198&gt;='分位数阈值'!$D$4,5,G198&gt;='分位数阈值'!$E$4,4,G198&gt;='分位数阈值'!$F$4,3,G198&gt;='分位数阈值'!$G$4,2,TRUE,1)))</f>
        <v/>
      </c>
      <c r="AC198" s="23">
        <f>IF(H198="","",IF('分位数阈值'!$D$5="","",IFS(H198&gt;='分位数阈值'!$D$5,5,H198&gt;='分位数阈值'!$E$5,4,H198&gt;='分位数阈值'!$F$5,3,H198&gt;='分位数阈值'!$G$5,2,TRUE,1)))</f>
        <v/>
      </c>
      <c r="AD198" s="23">
        <f>IF(I198="","",IF('分位数阈值'!$D$6="","",IFS(I198&gt;='分位数阈值'!$D$6,5,I198&gt;='分位数阈值'!$E$6,4,I198&gt;='分位数阈值'!$F$6,3,I198&gt;='分位数阈值'!$G$6,2,TRUE,1)))</f>
        <v/>
      </c>
      <c r="AE198" s="23">
        <f>IF(J198="","",IF('分位数阈值'!$D$7="","",IFS(J198&gt;='分位数阈值'!$D$7,5,J198&gt;='分位数阈值'!$E$7,4,J198&gt;='分位数阈值'!$F$7,3,J198&gt;='分位数阈值'!$G$7,2,TRUE,1)))</f>
        <v/>
      </c>
      <c r="AF198" s="23">
        <f>IF(K198="","",IF('分位数阈值'!$D$8="","",IFS(K198&gt;='分位数阈值'!$D$8,5,K198&gt;='分位数阈值'!$E$8,4,K198&gt;='分位数阈值'!$F$8,3,K198&gt;='分位数阈值'!$G$8,2,TRUE,1)))</f>
        <v/>
      </c>
      <c r="AG198" s="23">
        <f>IF(L198="","",IF('分位数阈值'!$D$9="","",IFS(L198&gt;='分位数阈值'!$D$9,5,L198&gt;='分位数阈值'!$E$9,4,L198&gt;='分位数阈值'!$F$9,3,L198&gt;='分位数阈值'!$G$9,2,TRUE,1)))</f>
        <v/>
      </c>
      <c r="AH198" s="23">
        <f>IF(M198="","",IF('分位数阈值'!$D$10="","",IFS(M198&lt;='分位数阈值'!$G$10,5,M198&lt;='分位数阈值'!$F$10,4,M198&lt;='分位数阈值'!$E$10,3,M198&lt;='分位数阈值'!$D$10,2,TRUE,1)))</f>
        <v/>
      </c>
      <c r="AI198" s="23">
        <f>IF(N198="","",IF('分位数阈值'!$D$11="","",IFS(N198&lt;='分位数阈值'!$G$11,5,N198&lt;='分位数阈值'!$F$11,4,N198&lt;='分位数阈值'!$E$11,3,N198&lt;='分位数阈值'!$D$11,2,TRUE,1)))</f>
        <v/>
      </c>
      <c r="AJ198" s="23">
        <f>IF(P198="","",IF(P198=1,1,5))</f>
        <v/>
      </c>
      <c r="AK198" s="23">
        <f>IF(Q198="","",IF(Q198=1,1,5))</f>
        <v/>
      </c>
      <c r="AL198" s="23">
        <f>IF(O198="","",IF('分位数阈值'!$D$12="","",IFS(O198&gt;='分位数阈值'!$D$12,5,O198&gt;='分位数阈值'!$E$12,4,O198&gt;='分位数阈值'!$F$12,3,O198&gt;='分位数阈值'!$G$12,2,TRUE,1)))</f>
        <v/>
      </c>
      <c r="AM198" s="23">
        <f>IF(R198="","",IF('分位数阈值'!$D$13="","",IFS(R198&lt;='分位数阈值'!$G$13,5,R198&lt;='分位数阈值'!$F$13,4,R198&lt;='分位数阈值'!$E$13,3,R198&lt;='分位数阈值'!$D$13,2,TRUE,1)))</f>
        <v/>
      </c>
      <c r="AN198" s="23">
        <f>IF(S198="","",IF('分位数阈值'!$D$14="","",IFS(S198&lt;='分位数阈值'!$G$14,5,S198&lt;='分位数阈值'!$F$14,4,S198&lt;='分位数阈值'!$E$14,3,S198&lt;='分位数阈值'!$D$14,2,TRUE,1)))</f>
        <v/>
      </c>
      <c r="AO198" s="23">
        <f>IF(T198="","",IF('分位数阈值'!$D$15="","",IFS(T198&lt;='分位数阈值'!$G$15,5,T198&lt;='分位数阈值'!$F$15,4,T198&lt;='分位数阈值'!$E$15,3,T198&lt;='分位数阈值'!$D$15,2,TRUE,1)))</f>
        <v/>
      </c>
      <c r="AP198" s="23">
        <f>IF(U198="","",IF(U198=1,5,1))</f>
        <v/>
      </c>
      <c r="AQ198" s="23">
        <f>IF(V198="","",V198)</f>
        <v/>
      </c>
      <c r="AR198" s="23">
        <f>IF(W198="","",IF('分位数阈值'!$D$16="","",IFS(W198&lt;='分位数阈值'!$G$16,5,W198&lt;='分位数阈值'!$F$16,4,W198&lt;='分位数阈值'!$E$16,3,W198&lt;='分位数阈值'!$D$16,2,TRUE,1)))</f>
        <v/>
      </c>
      <c r="AS198" s="23">
        <f>IF(X198="","",X198)</f>
        <v/>
      </c>
      <c r="AT198" s="23">
        <f>IF(Y198="","",Y198)</f>
        <v/>
      </c>
      <c r="AU198" s="10">
        <f>IF($A198="","",IF(OR(Z198=1,AR198=1,AJ198=1),"淘汰","通过"))</f>
        <v/>
      </c>
      <c r="AV198" s="10">
        <f>IF($A198="","",IF(OR(AA198=1,AR198=1,AND(AK198=1,AI198=1),AO198=1),"淘汰","通过"))</f>
        <v/>
      </c>
      <c r="AW198" s="24">
        <f>IF($A198="","",IF(AU198="淘汰","",ROUND(SUMPRODUCT(Z198:AT198,Z$2:AT$2)/5,1)))</f>
        <v/>
      </c>
      <c r="AX198" s="24">
        <f>IF($A198="","",IF(AV198="淘汰","",ROUND(SUMPRODUCT(Z198:AT198,Z$3:AT$3)/5,1)))</f>
        <v/>
      </c>
    </row>
    <row r="199" ht="15.75" customHeight="1" s="25">
      <c r="A199" s="22" t="n"/>
      <c r="B199" s="20" t="n"/>
      <c r="C199" s="22" t="n"/>
      <c r="D199" s="22" t="n"/>
      <c r="E199" s="22" t="n"/>
      <c r="F199" s="22" t="n"/>
      <c r="G199" s="21" t="n"/>
      <c r="H199" s="21" t="n"/>
      <c r="I199" s="21" t="n"/>
      <c r="J199" s="21" t="n"/>
      <c r="K199" s="21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3">
        <f>IF(E199="","",IF('分位数阈值'!$D$2="","",IFS(E199&gt;='分位数阈值'!$D$2,5,E199&gt;='分位数阈值'!$E$2,4,E199&gt;='分位数阈值'!$F$2,3,E199&gt;='分位数阈值'!$G$2,2,TRUE,1)))</f>
        <v/>
      </c>
      <c r="AA199" s="23">
        <f>IF(F199="","",IF('分位数阈值'!$D$3="","",IFS(F199&gt;='分位数阈值'!$D$3,5,F199&gt;='分位数阈值'!$E$3,4,F199&gt;='分位数阈值'!$F$3,3,F199&gt;='分位数阈值'!$G$3,2,TRUE,1)))</f>
        <v/>
      </c>
      <c r="AB199" s="23">
        <f>IF(G199="","",IF('分位数阈值'!$D$4="","",IFS(G199&gt;='分位数阈值'!$D$4,5,G199&gt;='分位数阈值'!$E$4,4,G199&gt;='分位数阈值'!$F$4,3,G199&gt;='分位数阈值'!$G$4,2,TRUE,1)))</f>
        <v/>
      </c>
      <c r="AC199" s="23">
        <f>IF(H199="","",IF('分位数阈值'!$D$5="","",IFS(H199&gt;='分位数阈值'!$D$5,5,H199&gt;='分位数阈值'!$E$5,4,H199&gt;='分位数阈值'!$F$5,3,H199&gt;='分位数阈值'!$G$5,2,TRUE,1)))</f>
        <v/>
      </c>
      <c r="AD199" s="23">
        <f>IF(I199="","",IF('分位数阈值'!$D$6="","",IFS(I199&gt;='分位数阈值'!$D$6,5,I199&gt;='分位数阈值'!$E$6,4,I199&gt;='分位数阈值'!$F$6,3,I199&gt;='分位数阈值'!$G$6,2,TRUE,1)))</f>
        <v/>
      </c>
      <c r="AE199" s="23">
        <f>IF(J199="","",IF('分位数阈值'!$D$7="","",IFS(J199&gt;='分位数阈值'!$D$7,5,J199&gt;='分位数阈值'!$E$7,4,J199&gt;='分位数阈值'!$F$7,3,J199&gt;='分位数阈值'!$G$7,2,TRUE,1)))</f>
        <v/>
      </c>
      <c r="AF199" s="23">
        <f>IF(K199="","",IF('分位数阈值'!$D$8="","",IFS(K199&gt;='分位数阈值'!$D$8,5,K199&gt;='分位数阈值'!$E$8,4,K199&gt;='分位数阈值'!$F$8,3,K199&gt;='分位数阈值'!$G$8,2,TRUE,1)))</f>
        <v/>
      </c>
      <c r="AG199" s="23">
        <f>IF(L199="","",IF('分位数阈值'!$D$9="","",IFS(L199&gt;='分位数阈值'!$D$9,5,L199&gt;='分位数阈值'!$E$9,4,L199&gt;='分位数阈值'!$F$9,3,L199&gt;='分位数阈值'!$G$9,2,TRUE,1)))</f>
        <v/>
      </c>
      <c r="AH199" s="23">
        <f>IF(M199="","",IF('分位数阈值'!$D$10="","",IFS(M199&lt;='分位数阈值'!$G$10,5,M199&lt;='分位数阈值'!$F$10,4,M199&lt;='分位数阈值'!$E$10,3,M199&lt;='分位数阈值'!$D$10,2,TRUE,1)))</f>
        <v/>
      </c>
      <c r="AI199" s="23">
        <f>IF(N199="","",IF('分位数阈值'!$D$11="","",IFS(N199&lt;='分位数阈值'!$G$11,5,N199&lt;='分位数阈值'!$F$11,4,N199&lt;='分位数阈值'!$E$11,3,N199&lt;='分位数阈值'!$D$11,2,TRUE,1)))</f>
        <v/>
      </c>
      <c r="AJ199" s="23">
        <f>IF(P199="","",IF(P199=1,1,5))</f>
        <v/>
      </c>
      <c r="AK199" s="23">
        <f>IF(Q199="","",IF(Q199=1,1,5))</f>
        <v/>
      </c>
      <c r="AL199" s="23">
        <f>IF(O199="","",IF('分位数阈值'!$D$12="","",IFS(O199&gt;='分位数阈值'!$D$12,5,O199&gt;='分位数阈值'!$E$12,4,O199&gt;='分位数阈值'!$F$12,3,O199&gt;='分位数阈值'!$G$12,2,TRUE,1)))</f>
        <v/>
      </c>
      <c r="AM199" s="23">
        <f>IF(R199="","",IF('分位数阈值'!$D$13="","",IFS(R199&lt;='分位数阈值'!$G$13,5,R199&lt;='分位数阈值'!$F$13,4,R199&lt;='分位数阈值'!$E$13,3,R199&lt;='分位数阈值'!$D$13,2,TRUE,1)))</f>
        <v/>
      </c>
      <c r="AN199" s="23">
        <f>IF(S199="","",IF('分位数阈值'!$D$14="","",IFS(S199&lt;='分位数阈值'!$G$14,5,S199&lt;='分位数阈值'!$F$14,4,S199&lt;='分位数阈值'!$E$14,3,S199&lt;='分位数阈值'!$D$14,2,TRUE,1)))</f>
        <v/>
      </c>
      <c r="AO199" s="23">
        <f>IF(T199="","",IF('分位数阈值'!$D$15="","",IFS(T199&lt;='分位数阈值'!$G$15,5,T199&lt;='分位数阈值'!$F$15,4,T199&lt;='分位数阈值'!$E$15,3,T199&lt;='分位数阈值'!$D$15,2,TRUE,1)))</f>
        <v/>
      </c>
      <c r="AP199" s="23">
        <f>IF(U199="","",IF(U199=1,5,1))</f>
        <v/>
      </c>
      <c r="AQ199" s="23">
        <f>IF(V199="","",V199)</f>
        <v/>
      </c>
      <c r="AR199" s="23">
        <f>IF(W199="","",IF('分位数阈值'!$D$16="","",IFS(W199&lt;='分位数阈值'!$G$16,5,W199&lt;='分位数阈值'!$F$16,4,W199&lt;='分位数阈值'!$E$16,3,W199&lt;='分位数阈值'!$D$16,2,TRUE,1)))</f>
        <v/>
      </c>
      <c r="AS199" s="23">
        <f>IF(X199="","",X199)</f>
        <v/>
      </c>
      <c r="AT199" s="23">
        <f>IF(Y199="","",Y199)</f>
        <v/>
      </c>
      <c r="AU199" s="10">
        <f>IF($A199="","",IF(OR(Z199=1,AR199=1,AJ199=1),"淘汰","通过"))</f>
        <v/>
      </c>
      <c r="AV199" s="10">
        <f>IF($A199="","",IF(OR(AA199=1,AR199=1,AND(AK199=1,AI199=1),AO199=1),"淘汰","通过"))</f>
        <v/>
      </c>
      <c r="AW199" s="24">
        <f>IF($A199="","",IF(AU199="淘汰","",ROUND(SUMPRODUCT(Z199:AT199,Z$2:AT$2)/5,1)))</f>
        <v/>
      </c>
      <c r="AX199" s="24">
        <f>IF($A199="","",IF(AV199="淘汰","",ROUND(SUMPRODUCT(Z199:AT199,Z$3:AT$3)/5,1)))</f>
        <v/>
      </c>
    </row>
    <row r="200" ht="15.75" customHeight="1" s="25">
      <c r="A200" s="22" t="n"/>
      <c r="B200" s="20" t="n"/>
      <c r="C200" s="22" t="n"/>
      <c r="D200" s="22" t="n"/>
      <c r="E200" s="22" t="n"/>
      <c r="F200" s="22" t="n"/>
      <c r="G200" s="21" t="n"/>
      <c r="H200" s="21" t="n"/>
      <c r="I200" s="21" t="n"/>
      <c r="J200" s="21" t="n"/>
      <c r="K200" s="21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3">
        <f>IF(E200="","",IF('分位数阈值'!$D$2="","",IFS(E200&gt;='分位数阈值'!$D$2,5,E200&gt;='分位数阈值'!$E$2,4,E200&gt;='分位数阈值'!$F$2,3,E200&gt;='分位数阈值'!$G$2,2,TRUE,1)))</f>
        <v/>
      </c>
      <c r="AA200" s="23">
        <f>IF(F200="","",IF('分位数阈值'!$D$3="","",IFS(F200&gt;='分位数阈值'!$D$3,5,F200&gt;='分位数阈值'!$E$3,4,F200&gt;='分位数阈值'!$F$3,3,F200&gt;='分位数阈值'!$G$3,2,TRUE,1)))</f>
        <v/>
      </c>
      <c r="AB200" s="23">
        <f>IF(G200="","",IF('分位数阈值'!$D$4="","",IFS(G200&gt;='分位数阈值'!$D$4,5,G200&gt;='分位数阈值'!$E$4,4,G200&gt;='分位数阈值'!$F$4,3,G200&gt;='分位数阈值'!$G$4,2,TRUE,1)))</f>
        <v/>
      </c>
      <c r="AC200" s="23">
        <f>IF(H200="","",IF('分位数阈值'!$D$5="","",IFS(H200&gt;='分位数阈值'!$D$5,5,H200&gt;='分位数阈值'!$E$5,4,H200&gt;='分位数阈值'!$F$5,3,H200&gt;='分位数阈值'!$G$5,2,TRUE,1)))</f>
        <v/>
      </c>
      <c r="AD200" s="23">
        <f>IF(I200="","",IF('分位数阈值'!$D$6="","",IFS(I200&gt;='分位数阈值'!$D$6,5,I200&gt;='分位数阈值'!$E$6,4,I200&gt;='分位数阈值'!$F$6,3,I200&gt;='分位数阈值'!$G$6,2,TRUE,1)))</f>
        <v/>
      </c>
      <c r="AE200" s="23">
        <f>IF(J200="","",IF('分位数阈值'!$D$7="","",IFS(J200&gt;='分位数阈值'!$D$7,5,J200&gt;='分位数阈值'!$E$7,4,J200&gt;='分位数阈值'!$F$7,3,J200&gt;='分位数阈值'!$G$7,2,TRUE,1)))</f>
        <v/>
      </c>
      <c r="AF200" s="23">
        <f>IF(K200="","",IF('分位数阈值'!$D$8="","",IFS(K200&gt;='分位数阈值'!$D$8,5,K200&gt;='分位数阈值'!$E$8,4,K200&gt;='分位数阈值'!$F$8,3,K200&gt;='分位数阈值'!$G$8,2,TRUE,1)))</f>
        <v/>
      </c>
      <c r="AG200" s="23">
        <f>IF(L200="","",IF('分位数阈值'!$D$9="","",IFS(L200&gt;='分位数阈值'!$D$9,5,L200&gt;='分位数阈值'!$E$9,4,L200&gt;='分位数阈值'!$F$9,3,L200&gt;='分位数阈值'!$G$9,2,TRUE,1)))</f>
        <v/>
      </c>
      <c r="AH200" s="23">
        <f>IF(M200="","",IF('分位数阈值'!$D$10="","",IFS(M200&lt;='分位数阈值'!$G$10,5,M200&lt;='分位数阈值'!$F$10,4,M200&lt;='分位数阈值'!$E$10,3,M200&lt;='分位数阈值'!$D$10,2,TRUE,1)))</f>
        <v/>
      </c>
      <c r="AI200" s="23">
        <f>IF(N200="","",IF('分位数阈值'!$D$11="","",IFS(N200&lt;='分位数阈值'!$G$11,5,N200&lt;='分位数阈值'!$F$11,4,N200&lt;='分位数阈值'!$E$11,3,N200&lt;='分位数阈值'!$D$11,2,TRUE,1)))</f>
        <v/>
      </c>
      <c r="AJ200" s="23">
        <f>IF(P200="","",IF(P200=1,1,5))</f>
        <v/>
      </c>
      <c r="AK200" s="23">
        <f>IF(Q200="","",IF(Q200=1,1,5))</f>
        <v/>
      </c>
      <c r="AL200" s="23">
        <f>IF(O200="","",IF('分位数阈值'!$D$12="","",IFS(O200&gt;='分位数阈值'!$D$12,5,O200&gt;='分位数阈值'!$E$12,4,O200&gt;='分位数阈值'!$F$12,3,O200&gt;='分位数阈值'!$G$12,2,TRUE,1)))</f>
        <v/>
      </c>
      <c r="AM200" s="23">
        <f>IF(R200="","",IF('分位数阈值'!$D$13="","",IFS(R200&lt;='分位数阈值'!$G$13,5,R200&lt;='分位数阈值'!$F$13,4,R200&lt;='分位数阈值'!$E$13,3,R200&lt;='分位数阈值'!$D$13,2,TRUE,1)))</f>
        <v/>
      </c>
      <c r="AN200" s="23">
        <f>IF(S200="","",IF('分位数阈值'!$D$14="","",IFS(S200&lt;='分位数阈值'!$G$14,5,S200&lt;='分位数阈值'!$F$14,4,S200&lt;='分位数阈值'!$E$14,3,S200&lt;='分位数阈值'!$D$14,2,TRUE,1)))</f>
        <v/>
      </c>
      <c r="AO200" s="23">
        <f>IF(T200="","",IF('分位数阈值'!$D$15="","",IFS(T200&lt;='分位数阈值'!$G$15,5,T200&lt;='分位数阈值'!$F$15,4,T200&lt;='分位数阈值'!$E$15,3,T200&lt;='分位数阈值'!$D$15,2,TRUE,1)))</f>
        <v/>
      </c>
      <c r="AP200" s="23">
        <f>IF(U200="","",IF(U200=1,5,1))</f>
        <v/>
      </c>
      <c r="AQ200" s="23">
        <f>IF(V200="","",V200)</f>
        <v/>
      </c>
      <c r="AR200" s="23">
        <f>IF(W200="","",IF('分位数阈值'!$D$16="","",IFS(W200&lt;='分位数阈值'!$G$16,5,W200&lt;='分位数阈值'!$F$16,4,W200&lt;='分位数阈值'!$E$16,3,W200&lt;='分位数阈值'!$D$16,2,TRUE,1)))</f>
        <v/>
      </c>
      <c r="AS200" s="23">
        <f>IF(X200="","",X200)</f>
        <v/>
      </c>
      <c r="AT200" s="23">
        <f>IF(Y200="","",Y200)</f>
        <v/>
      </c>
      <c r="AU200" s="10">
        <f>IF($A200="","",IF(OR(Z200=1,AR200=1,AJ200=1),"淘汰","通过"))</f>
        <v/>
      </c>
      <c r="AV200" s="10">
        <f>IF($A200="","",IF(OR(AA200=1,AR200=1,AND(AK200=1,AI200=1),AO200=1),"淘汰","通过"))</f>
        <v/>
      </c>
      <c r="AW200" s="24">
        <f>IF($A200="","",IF(AU200="淘汰","",ROUND(SUMPRODUCT(Z200:AT200,Z$2:AT$2)/5,1)))</f>
        <v/>
      </c>
      <c r="AX200" s="24">
        <f>IF($A200="","",IF(AV200="淘汰","",ROUND(SUMPRODUCT(Z200:AT200,Z$3:AT$3)/5,1)))</f>
        <v/>
      </c>
    </row>
    <row r="201" ht="15.75" customHeight="1" s="25">
      <c r="A201" s="22" t="n"/>
      <c r="B201" s="20" t="n"/>
      <c r="C201" s="22" t="n"/>
      <c r="D201" s="22" t="n"/>
      <c r="E201" s="22" t="n"/>
      <c r="F201" s="22" t="n"/>
      <c r="G201" s="21" t="n"/>
      <c r="H201" s="21" t="n"/>
      <c r="I201" s="21" t="n"/>
      <c r="J201" s="21" t="n"/>
      <c r="K201" s="21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3">
        <f>IF(E201="","",IF('分位数阈值'!$D$2="","",IFS(E201&gt;='分位数阈值'!$D$2,5,E201&gt;='分位数阈值'!$E$2,4,E201&gt;='分位数阈值'!$F$2,3,E201&gt;='分位数阈值'!$G$2,2,TRUE,1)))</f>
        <v/>
      </c>
      <c r="AA201" s="23">
        <f>IF(F201="","",IF('分位数阈值'!$D$3="","",IFS(F201&gt;='分位数阈值'!$D$3,5,F201&gt;='分位数阈值'!$E$3,4,F201&gt;='分位数阈值'!$F$3,3,F201&gt;='分位数阈值'!$G$3,2,TRUE,1)))</f>
        <v/>
      </c>
      <c r="AB201" s="23">
        <f>IF(G201="","",IF('分位数阈值'!$D$4="","",IFS(G201&gt;='分位数阈值'!$D$4,5,G201&gt;='分位数阈值'!$E$4,4,G201&gt;='分位数阈值'!$F$4,3,G201&gt;='分位数阈值'!$G$4,2,TRUE,1)))</f>
        <v/>
      </c>
      <c r="AC201" s="23">
        <f>IF(H201="","",IF('分位数阈值'!$D$5="","",IFS(H201&gt;='分位数阈值'!$D$5,5,H201&gt;='分位数阈值'!$E$5,4,H201&gt;='分位数阈值'!$F$5,3,H201&gt;='分位数阈值'!$G$5,2,TRUE,1)))</f>
        <v/>
      </c>
      <c r="AD201" s="23">
        <f>IF(I201="","",IF('分位数阈值'!$D$6="","",IFS(I201&gt;='分位数阈值'!$D$6,5,I201&gt;='分位数阈值'!$E$6,4,I201&gt;='分位数阈值'!$F$6,3,I201&gt;='分位数阈值'!$G$6,2,TRUE,1)))</f>
        <v/>
      </c>
      <c r="AE201" s="23">
        <f>IF(J201="","",IF('分位数阈值'!$D$7="","",IFS(J201&gt;='分位数阈值'!$D$7,5,J201&gt;='分位数阈值'!$E$7,4,J201&gt;='分位数阈值'!$F$7,3,J201&gt;='分位数阈值'!$G$7,2,TRUE,1)))</f>
        <v/>
      </c>
      <c r="AF201" s="23">
        <f>IF(K201="","",IF('分位数阈值'!$D$8="","",IFS(K201&gt;='分位数阈值'!$D$8,5,K201&gt;='分位数阈值'!$E$8,4,K201&gt;='分位数阈值'!$F$8,3,K201&gt;='分位数阈值'!$G$8,2,TRUE,1)))</f>
        <v/>
      </c>
      <c r="AG201" s="23">
        <f>IF(L201="","",IF('分位数阈值'!$D$9="","",IFS(L201&gt;='分位数阈值'!$D$9,5,L201&gt;='分位数阈值'!$E$9,4,L201&gt;='分位数阈值'!$F$9,3,L201&gt;='分位数阈值'!$G$9,2,TRUE,1)))</f>
        <v/>
      </c>
      <c r="AH201" s="23">
        <f>IF(M201="","",IF('分位数阈值'!$D$10="","",IFS(M201&lt;='分位数阈值'!$G$10,5,M201&lt;='分位数阈值'!$F$10,4,M201&lt;='分位数阈值'!$E$10,3,M201&lt;='分位数阈值'!$D$10,2,TRUE,1)))</f>
        <v/>
      </c>
      <c r="AI201" s="23">
        <f>IF(N201="","",IF('分位数阈值'!$D$11="","",IFS(N201&lt;='分位数阈值'!$G$11,5,N201&lt;='分位数阈值'!$F$11,4,N201&lt;='分位数阈值'!$E$11,3,N201&lt;='分位数阈值'!$D$11,2,TRUE,1)))</f>
        <v/>
      </c>
      <c r="AJ201" s="23">
        <f>IF(P201="","",IF(P201=1,1,5))</f>
        <v/>
      </c>
      <c r="AK201" s="23">
        <f>IF(Q201="","",IF(Q201=1,1,5))</f>
        <v/>
      </c>
      <c r="AL201" s="23">
        <f>IF(O201="","",IF('分位数阈值'!$D$12="","",IFS(O201&gt;='分位数阈值'!$D$12,5,O201&gt;='分位数阈值'!$E$12,4,O201&gt;='分位数阈值'!$F$12,3,O201&gt;='分位数阈值'!$G$12,2,TRUE,1)))</f>
        <v/>
      </c>
      <c r="AM201" s="23">
        <f>IF(R201="","",IF('分位数阈值'!$D$13="","",IFS(R201&lt;='分位数阈值'!$G$13,5,R201&lt;='分位数阈值'!$F$13,4,R201&lt;='分位数阈值'!$E$13,3,R201&lt;='分位数阈值'!$D$13,2,TRUE,1)))</f>
        <v/>
      </c>
      <c r="AN201" s="23">
        <f>IF(S201="","",IF('分位数阈值'!$D$14="","",IFS(S201&lt;='分位数阈值'!$G$14,5,S201&lt;='分位数阈值'!$F$14,4,S201&lt;='分位数阈值'!$E$14,3,S201&lt;='分位数阈值'!$D$14,2,TRUE,1)))</f>
        <v/>
      </c>
      <c r="AO201" s="23">
        <f>IF(T201="","",IF('分位数阈值'!$D$15="","",IFS(T201&lt;='分位数阈值'!$G$15,5,T201&lt;='分位数阈值'!$F$15,4,T201&lt;='分位数阈值'!$E$15,3,T201&lt;='分位数阈值'!$D$15,2,TRUE,1)))</f>
        <v/>
      </c>
      <c r="AP201" s="23">
        <f>IF(U201="","",IF(U201=1,5,1))</f>
        <v/>
      </c>
      <c r="AQ201" s="23">
        <f>IF(V201="","",V201)</f>
        <v/>
      </c>
      <c r="AR201" s="23">
        <f>IF(W201="","",IF('分位数阈值'!$D$16="","",IFS(W201&lt;='分位数阈值'!$G$16,5,W201&lt;='分位数阈值'!$F$16,4,W201&lt;='分位数阈值'!$E$16,3,W201&lt;='分位数阈值'!$D$16,2,TRUE,1)))</f>
        <v/>
      </c>
      <c r="AS201" s="23">
        <f>IF(X201="","",X201)</f>
        <v/>
      </c>
      <c r="AT201" s="23">
        <f>IF(Y201="","",Y201)</f>
        <v/>
      </c>
      <c r="AU201" s="10">
        <f>IF($A201="","",IF(OR(Z201=1,AR201=1,AJ201=1),"淘汰","通过"))</f>
        <v/>
      </c>
      <c r="AV201" s="10">
        <f>IF($A201="","",IF(OR(AA201=1,AR201=1,AND(AK201=1,AI201=1),AO201=1),"淘汰","通过"))</f>
        <v/>
      </c>
      <c r="AW201" s="24">
        <f>IF($A201="","",IF(AU201="淘汰","",ROUND(SUMPRODUCT(Z201:AT201,Z$2:AT$2)/5,1)))</f>
        <v/>
      </c>
      <c r="AX201" s="24">
        <f>IF($A201="","",IF(AV201="淘汰","",ROUND(SUMPRODUCT(Z201:AT201,Z$3:AT$3)/5,1)))</f>
        <v/>
      </c>
    </row>
    <row r="202" ht="15.75" customHeight="1" s="25">
      <c r="A202" s="22" t="n"/>
      <c r="B202" s="20" t="n"/>
      <c r="C202" s="22" t="n"/>
      <c r="D202" s="22" t="n"/>
      <c r="E202" s="22" t="n"/>
      <c r="F202" s="22" t="n"/>
      <c r="G202" s="21" t="n"/>
      <c r="H202" s="21" t="n"/>
      <c r="I202" s="21" t="n"/>
      <c r="J202" s="21" t="n"/>
      <c r="K202" s="21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3">
        <f>IF(E202="","",IF('分位数阈值'!$D$2="","",IFS(E202&gt;='分位数阈值'!$D$2,5,E202&gt;='分位数阈值'!$E$2,4,E202&gt;='分位数阈值'!$F$2,3,E202&gt;='分位数阈值'!$G$2,2,TRUE,1)))</f>
        <v/>
      </c>
      <c r="AA202" s="23">
        <f>IF(F202="","",IF('分位数阈值'!$D$3="","",IFS(F202&gt;='分位数阈值'!$D$3,5,F202&gt;='分位数阈值'!$E$3,4,F202&gt;='分位数阈值'!$F$3,3,F202&gt;='分位数阈值'!$G$3,2,TRUE,1)))</f>
        <v/>
      </c>
      <c r="AB202" s="23">
        <f>IF(G202="","",IF('分位数阈值'!$D$4="","",IFS(G202&gt;='分位数阈值'!$D$4,5,G202&gt;='分位数阈值'!$E$4,4,G202&gt;='分位数阈值'!$F$4,3,G202&gt;='分位数阈值'!$G$4,2,TRUE,1)))</f>
        <v/>
      </c>
      <c r="AC202" s="23">
        <f>IF(H202="","",IF('分位数阈值'!$D$5="","",IFS(H202&gt;='分位数阈值'!$D$5,5,H202&gt;='分位数阈值'!$E$5,4,H202&gt;='分位数阈值'!$F$5,3,H202&gt;='分位数阈值'!$G$5,2,TRUE,1)))</f>
        <v/>
      </c>
      <c r="AD202" s="23">
        <f>IF(I202="","",IF('分位数阈值'!$D$6="","",IFS(I202&gt;='分位数阈值'!$D$6,5,I202&gt;='分位数阈值'!$E$6,4,I202&gt;='分位数阈值'!$F$6,3,I202&gt;='分位数阈值'!$G$6,2,TRUE,1)))</f>
        <v/>
      </c>
      <c r="AE202" s="23">
        <f>IF(J202="","",IF('分位数阈值'!$D$7="","",IFS(J202&gt;='分位数阈值'!$D$7,5,J202&gt;='分位数阈值'!$E$7,4,J202&gt;='分位数阈值'!$F$7,3,J202&gt;='分位数阈值'!$G$7,2,TRUE,1)))</f>
        <v/>
      </c>
      <c r="AF202" s="23">
        <f>IF(K202="","",IF('分位数阈值'!$D$8="","",IFS(K202&gt;='分位数阈值'!$D$8,5,K202&gt;='分位数阈值'!$E$8,4,K202&gt;='分位数阈值'!$F$8,3,K202&gt;='分位数阈值'!$G$8,2,TRUE,1)))</f>
        <v/>
      </c>
      <c r="AG202" s="23">
        <f>IF(L202="","",IF('分位数阈值'!$D$9="","",IFS(L202&gt;='分位数阈值'!$D$9,5,L202&gt;='分位数阈值'!$E$9,4,L202&gt;='分位数阈值'!$F$9,3,L202&gt;='分位数阈值'!$G$9,2,TRUE,1)))</f>
        <v/>
      </c>
      <c r="AH202" s="23">
        <f>IF(M202="","",IF('分位数阈值'!$D$10="","",IFS(M202&lt;='分位数阈值'!$G$10,5,M202&lt;='分位数阈值'!$F$10,4,M202&lt;='分位数阈值'!$E$10,3,M202&lt;='分位数阈值'!$D$10,2,TRUE,1)))</f>
        <v/>
      </c>
      <c r="AI202" s="23">
        <f>IF(N202="","",IF('分位数阈值'!$D$11="","",IFS(N202&lt;='分位数阈值'!$G$11,5,N202&lt;='分位数阈值'!$F$11,4,N202&lt;='分位数阈值'!$E$11,3,N202&lt;='分位数阈值'!$D$11,2,TRUE,1)))</f>
        <v/>
      </c>
      <c r="AJ202" s="23">
        <f>IF(P202="","",IF(P202=1,1,5))</f>
        <v/>
      </c>
      <c r="AK202" s="23">
        <f>IF(Q202="","",IF(Q202=1,1,5))</f>
        <v/>
      </c>
      <c r="AL202" s="23">
        <f>IF(O202="","",IF('分位数阈值'!$D$12="","",IFS(O202&gt;='分位数阈值'!$D$12,5,O202&gt;='分位数阈值'!$E$12,4,O202&gt;='分位数阈值'!$F$12,3,O202&gt;='分位数阈值'!$G$12,2,TRUE,1)))</f>
        <v/>
      </c>
      <c r="AM202" s="23">
        <f>IF(R202="","",IF('分位数阈值'!$D$13="","",IFS(R202&lt;='分位数阈值'!$G$13,5,R202&lt;='分位数阈值'!$F$13,4,R202&lt;='分位数阈值'!$E$13,3,R202&lt;='分位数阈值'!$D$13,2,TRUE,1)))</f>
        <v/>
      </c>
      <c r="AN202" s="23">
        <f>IF(S202="","",IF('分位数阈值'!$D$14="","",IFS(S202&lt;='分位数阈值'!$G$14,5,S202&lt;='分位数阈值'!$F$14,4,S202&lt;='分位数阈值'!$E$14,3,S202&lt;='分位数阈值'!$D$14,2,TRUE,1)))</f>
        <v/>
      </c>
      <c r="AO202" s="23">
        <f>IF(T202="","",IF('分位数阈值'!$D$15="","",IFS(T202&lt;='分位数阈值'!$G$15,5,T202&lt;='分位数阈值'!$F$15,4,T202&lt;='分位数阈值'!$E$15,3,T202&lt;='分位数阈值'!$D$15,2,TRUE,1)))</f>
        <v/>
      </c>
      <c r="AP202" s="23">
        <f>IF(U202="","",IF(U202=1,5,1))</f>
        <v/>
      </c>
      <c r="AQ202" s="23">
        <f>IF(V202="","",V202)</f>
        <v/>
      </c>
      <c r="AR202" s="23">
        <f>IF(W202="","",IF('分位数阈值'!$D$16="","",IFS(W202&lt;='分位数阈值'!$G$16,5,W202&lt;='分位数阈值'!$F$16,4,W202&lt;='分位数阈值'!$E$16,3,W202&lt;='分位数阈值'!$D$16,2,TRUE,1)))</f>
        <v/>
      </c>
      <c r="AS202" s="23">
        <f>IF(X202="","",X202)</f>
        <v/>
      </c>
      <c r="AT202" s="23">
        <f>IF(Y202="","",Y202)</f>
        <v/>
      </c>
      <c r="AU202" s="10">
        <f>IF($A202="","",IF(OR(Z202=1,AR202=1,AJ202=1),"淘汰","通过"))</f>
        <v/>
      </c>
      <c r="AV202" s="10">
        <f>IF($A202="","",IF(OR(AA202=1,AR202=1,AND(AK202=1,AI202=1),AO202=1),"淘汰","通过"))</f>
        <v/>
      </c>
      <c r="AW202" s="24">
        <f>IF($A202="","",IF(AU202="淘汰","",ROUND(SUMPRODUCT(Z202:AT202,Z$2:AT$2)/5,1)))</f>
        <v/>
      </c>
      <c r="AX202" s="24">
        <f>IF($A202="","",IF(AV202="淘汰","",ROUND(SUMPRODUCT(Z202:AT202,Z$3:AT$3)/5,1)))</f>
        <v/>
      </c>
    </row>
    <row r="203" ht="15.75" customHeight="1" s="25">
      <c r="A203" s="22" t="n"/>
      <c r="B203" s="20" t="n"/>
      <c r="C203" s="22" t="n"/>
      <c r="D203" s="22" t="n"/>
      <c r="E203" s="22" t="n"/>
      <c r="F203" s="22" t="n"/>
      <c r="G203" s="21" t="n"/>
      <c r="H203" s="21" t="n"/>
      <c r="I203" s="21" t="n"/>
      <c r="J203" s="21" t="n"/>
      <c r="K203" s="21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3">
        <f>IF(E203="","",IF('分位数阈值'!$D$2="","",IFS(E203&gt;='分位数阈值'!$D$2,5,E203&gt;='分位数阈值'!$E$2,4,E203&gt;='分位数阈值'!$F$2,3,E203&gt;='分位数阈值'!$G$2,2,TRUE,1)))</f>
        <v/>
      </c>
      <c r="AA203" s="23">
        <f>IF(F203="","",IF('分位数阈值'!$D$3="","",IFS(F203&gt;='分位数阈值'!$D$3,5,F203&gt;='分位数阈值'!$E$3,4,F203&gt;='分位数阈值'!$F$3,3,F203&gt;='分位数阈值'!$G$3,2,TRUE,1)))</f>
        <v/>
      </c>
      <c r="AB203" s="23">
        <f>IF(G203="","",IF('分位数阈值'!$D$4="","",IFS(G203&gt;='分位数阈值'!$D$4,5,G203&gt;='分位数阈值'!$E$4,4,G203&gt;='分位数阈值'!$F$4,3,G203&gt;='分位数阈值'!$G$4,2,TRUE,1)))</f>
        <v/>
      </c>
      <c r="AC203" s="23">
        <f>IF(H203="","",IF('分位数阈值'!$D$5="","",IFS(H203&gt;='分位数阈值'!$D$5,5,H203&gt;='分位数阈值'!$E$5,4,H203&gt;='分位数阈值'!$F$5,3,H203&gt;='分位数阈值'!$G$5,2,TRUE,1)))</f>
        <v/>
      </c>
      <c r="AD203" s="23">
        <f>IF(I203="","",IF('分位数阈值'!$D$6="","",IFS(I203&gt;='分位数阈值'!$D$6,5,I203&gt;='分位数阈值'!$E$6,4,I203&gt;='分位数阈值'!$F$6,3,I203&gt;='分位数阈值'!$G$6,2,TRUE,1)))</f>
        <v/>
      </c>
      <c r="AE203" s="23">
        <f>IF(J203="","",IF('分位数阈值'!$D$7="","",IFS(J203&gt;='分位数阈值'!$D$7,5,J203&gt;='分位数阈值'!$E$7,4,J203&gt;='分位数阈值'!$F$7,3,J203&gt;='分位数阈值'!$G$7,2,TRUE,1)))</f>
        <v/>
      </c>
      <c r="AF203" s="23">
        <f>IF(K203="","",IF('分位数阈值'!$D$8="","",IFS(K203&gt;='分位数阈值'!$D$8,5,K203&gt;='分位数阈值'!$E$8,4,K203&gt;='分位数阈值'!$F$8,3,K203&gt;='分位数阈值'!$G$8,2,TRUE,1)))</f>
        <v/>
      </c>
      <c r="AG203" s="23">
        <f>IF(L203="","",IF('分位数阈值'!$D$9="","",IFS(L203&gt;='分位数阈值'!$D$9,5,L203&gt;='分位数阈值'!$E$9,4,L203&gt;='分位数阈值'!$F$9,3,L203&gt;='分位数阈值'!$G$9,2,TRUE,1)))</f>
        <v/>
      </c>
      <c r="AH203" s="23">
        <f>IF(M203="","",IF('分位数阈值'!$D$10="","",IFS(M203&lt;='分位数阈值'!$G$10,5,M203&lt;='分位数阈值'!$F$10,4,M203&lt;='分位数阈值'!$E$10,3,M203&lt;='分位数阈值'!$D$10,2,TRUE,1)))</f>
        <v/>
      </c>
      <c r="AI203" s="23">
        <f>IF(N203="","",IF('分位数阈值'!$D$11="","",IFS(N203&lt;='分位数阈值'!$G$11,5,N203&lt;='分位数阈值'!$F$11,4,N203&lt;='分位数阈值'!$E$11,3,N203&lt;='分位数阈值'!$D$11,2,TRUE,1)))</f>
        <v/>
      </c>
      <c r="AJ203" s="23">
        <f>IF(P203="","",IF(P203=1,1,5))</f>
        <v/>
      </c>
      <c r="AK203" s="23">
        <f>IF(Q203="","",IF(Q203=1,1,5))</f>
        <v/>
      </c>
      <c r="AL203" s="23">
        <f>IF(O203="","",IF('分位数阈值'!$D$12="","",IFS(O203&gt;='分位数阈值'!$D$12,5,O203&gt;='分位数阈值'!$E$12,4,O203&gt;='分位数阈值'!$F$12,3,O203&gt;='分位数阈值'!$G$12,2,TRUE,1)))</f>
        <v/>
      </c>
      <c r="AM203" s="23">
        <f>IF(R203="","",IF('分位数阈值'!$D$13="","",IFS(R203&lt;='分位数阈值'!$G$13,5,R203&lt;='分位数阈值'!$F$13,4,R203&lt;='分位数阈值'!$E$13,3,R203&lt;='分位数阈值'!$D$13,2,TRUE,1)))</f>
        <v/>
      </c>
      <c r="AN203" s="23">
        <f>IF(S203="","",IF('分位数阈值'!$D$14="","",IFS(S203&lt;='分位数阈值'!$G$14,5,S203&lt;='分位数阈值'!$F$14,4,S203&lt;='分位数阈值'!$E$14,3,S203&lt;='分位数阈值'!$D$14,2,TRUE,1)))</f>
        <v/>
      </c>
      <c r="AO203" s="23">
        <f>IF(T203="","",IF('分位数阈值'!$D$15="","",IFS(T203&lt;='分位数阈值'!$G$15,5,T203&lt;='分位数阈值'!$F$15,4,T203&lt;='分位数阈值'!$E$15,3,T203&lt;='分位数阈值'!$D$15,2,TRUE,1)))</f>
        <v/>
      </c>
      <c r="AP203" s="23">
        <f>IF(U203="","",IF(U203=1,5,1))</f>
        <v/>
      </c>
      <c r="AQ203" s="23">
        <f>IF(V203="","",V203)</f>
        <v/>
      </c>
      <c r="AR203" s="23">
        <f>IF(W203="","",IF('分位数阈值'!$D$16="","",IFS(W203&lt;='分位数阈值'!$G$16,5,W203&lt;='分位数阈值'!$F$16,4,W203&lt;='分位数阈值'!$E$16,3,W203&lt;='分位数阈值'!$D$16,2,TRUE,1)))</f>
        <v/>
      </c>
      <c r="AS203" s="23">
        <f>IF(X203="","",X203)</f>
        <v/>
      </c>
      <c r="AT203" s="23">
        <f>IF(Y203="","",Y203)</f>
        <v/>
      </c>
      <c r="AU203" s="10">
        <f>IF($A203="","",IF(OR(Z203=1,AR203=1,AJ203=1),"淘汰","通过"))</f>
        <v/>
      </c>
      <c r="AV203" s="10">
        <f>IF($A203="","",IF(OR(AA203=1,AR203=1,AND(AK203=1,AI203=1),AO203=1),"淘汰","通过"))</f>
        <v/>
      </c>
      <c r="AW203" s="24">
        <f>IF($A203="","",IF(AU203="淘汰","",ROUND(SUMPRODUCT(Z203:AT203,Z$2:AT$2)/5,1)))</f>
        <v/>
      </c>
      <c r="AX203" s="24">
        <f>IF($A203="","",IF(AV203="淘汰","",ROUND(SUMPRODUCT(Z203:AT203,Z$3:AT$3)/5,1)))</f>
        <v/>
      </c>
    </row>
    <row r="204" ht="15.75" customHeight="1" s="25">
      <c r="A204" s="22" t="n"/>
      <c r="B204" s="20" t="n"/>
      <c r="C204" s="22" t="n"/>
      <c r="D204" s="22" t="n"/>
      <c r="E204" s="22" t="n"/>
      <c r="F204" s="22" t="n"/>
      <c r="G204" s="21" t="n"/>
      <c r="H204" s="21" t="n"/>
      <c r="I204" s="21" t="n"/>
      <c r="J204" s="21" t="n"/>
      <c r="K204" s="21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3">
        <f>IF(E204="","",IF('分位数阈值'!$D$2="","",IFS(E204&gt;='分位数阈值'!$D$2,5,E204&gt;='分位数阈值'!$E$2,4,E204&gt;='分位数阈值'!$F$2,3,E204&gt;='分位数阈值'!$G$2,2,TRUE,1)))</f>
        <v/>
      </c>
      <c r="AA204" s="23">
        <f>IF(F204="","",IF('分位数阈值'!$D$3="","",IFS(F204&gt;='分位数阈值'!$D$3,5,F204&gt;='分位数阈值'!$E$3,4,F204&gt;='分位数阈值'!$F$3,3,F204&gt;='分位数阈值'!$G$3,2,TRUE,1)))</f>
        <v/>
      </c>
      <c r="AB204" s="23">
        <f>IF(G204="","",IF('分位数阈值'!$D$4="","",IFS(G204&gt;='分位数阈值'!$D$4,5,G204&gt;='分位数阈值'!$E$4,4,G204&gt;='分位数阈值'!$F$4,3,G204&gt;='分位数阈值'!$G$4,2,TRUE,1)))</f>
        <v/>
      </c>
      <c r="AC204" s="23">
        <f>IF(H204="","",IF('分位数阈值'!$D$5="","",IFS(H204&gt;='分位数阈值'!$D$5,5,H204&gt;='分位数阈值'!$E$5,4,H204&gt;='分位数阈值'!$F$5,3,H204&gt;='分位数阈值'!$G$5,2,TRUE,1)))</f>
        <v/>
      </c>
      <c r="AD204" s="23">
        <f>IF(I204="","",IF('分位数阈值'!$D$6="","",IFS(I204&gt;='分位数阈值'!$D$6,5,I204&gt;='分位数阈值'!$E$6,4,I204&gt;='分位数阈值'!$F$6,3,I204&gt;='分位数阈值'!$G$6,2,TRUE,1)))</f>
        <v/>
      </c>
      <c r="AE204" s="23">
        <f>IF(J204="","",IF('分位数阈值'!$D$7="","",IFS(J204&gt;='分位数阈值'!$D$7,5,J204&gt;='分位数阈值'!$E$7,4,J204&gt;='分位数阈值'!$F$7,3,J204&gt;='分位数阈值'!$G$7,2,TRUE,1)))</f>
        <v/>
      </c>
      <c r="AF204" s="23">
        <f>IF(K204="","",IF('分位数阈值'!$D$8="","",IFS(K204&gt;='分位数阈值'!$D$8,5,K204&gt;='分位数阈值'!$E$8,4,K204&gt;='分位数阈值'!$F$8,3,K204&gt;='分位数阈值'!$G$8,2,TRUE,1)))</f>
        <v/>
      </c>
      <c r="AG204" s="23">
        <f>IF(L204="","",IF('分位数阈值'!$D$9="","",IFS(L204&gt;='分位数阈值'!$D$9,5,L204&gt;='分位数阈值'!$E$9,4,L204&gt;='分位数阈值'!$F$9,3,L204&gt;='分位数阈值'!$G$9,2,TRUE,1)))</f>
        <v/>
      </c>
      <c r="AH204" s="23">
        <f>IF(M204="","",IF('分位数阈值'!$D$10="","",IFS(M204&lt;='分位数阈值'!$G$10,5,M204&lt;='分位数阈值'!$F$10,4,M204&lt;='分位数阈值'!$E$10,3,M204&lt;='分位数阈值'!$D$10,2,TRUE,1)))</f>
        <v/>
      </c>
      <c r="AI204" s="23">
        <f>IF(N204="","",IF('分位数阈值'!$D$11="","",IFS(N204&lt;='分位数阈值'!$G$11,5,N204&lt;='分位数阈值'!$F$11,4,N204&lt;='分位数阈值'!$E$11,3,N204&lt;='分位数阈值'!$D$11,2,TRUE,1)))</f>
        <v/>
      </c>
      <c r="AJ204" s="23">
        <f>IF(P204="","",IF(P204=1,1,5))</f>
        <v/>
      </c>
      <c r="AK204" s="23">
        <f>IF(Q204="","",IF(Q204=1,1,5))</f>
        <v/>
      </c>
      <c r="AL204" s="23">
        <f>IF(O204="","",IF('分位数阈值'!$D$12="","",IFS(O204&gt;='分位数阈值'!$D$12,5,O204&gt;='分位数阈值'!$E$12,4,O204&gt;='分位数阈值'!$F$12,3,O204&gt;='分位数阈值'!$G$12,2,TRUE,1)))</f>
        <v/>
      </c>
      <c r="AM204" s="23">
        <f>IF(R204="","",IF('分位数阈值'!$D$13="","",IFS(R204&lt;='分位数阈值'!$G$13,5,R204&lt;='分位数阈值'!$F$13,4,R204&lt;='分位数阈值'!$E$13,3,R204&lt;='分位数阈值'!$D$13,2,TRUE,1)))</f>
        <v/>
      </c>
      <c r="AN204" s="23">
        <f>IF(S204="","",IF('分位数阈值'!$D$14="","",IFS(S204&lt;='分位数阈值'!$G$14,5,S204&lt;='分位数阈值'!$F$14,4,S204&lt;='分位数阈值'!$E$14,3,S204&lt;='分位数阈值'!$D$14,2,TRUE,1)))</f>
        <v/>
      </c>
      <c r="AO204" s="23">
        <f>IF(T204="","",IF('分位数阈值'!$D$15="","",IFS(T204&lt;='分位数阈值'!$G$15,5,T204&lt;='分位数阈值'!$F$15,4,T204&lt;='分位数阈值'!$E$15,3,T204&lt;='分位数阈值'!$D$15,2,TRUE,1)))</f>
        <v/>
      </c>
      <c r="AP204" s="23">
        <f>IF(U204="","",IF(U204=1,5,1))</f>
        <v/>
      </c>
      <c r="AQ204" s="23">
        <f>IF(V204="","",V204)</f>
        <v/>
      </c>
      <c r="AR204" s="23">
        <f>IF(W204="","",IF('分位数阈值'!$D$16="","",IFS(W204&lt;='分位数阈值'!$G$16,5,W204&lt;='分位数阈值'!$F$16,4,W204&lt;='分位数阈值'!$E$16,3,W204&lt;='分位数阈值'!$D$16,2,TRUE,1)))</f>
        <v/>
      </c>
      <c r="AS204" s="23">
        <f>IF(X204="","",X204)</f>
        <v/>
      </c>
      <c r="AT204" s="23">
        <f>IF(Y204="","",Y204)</f>
        <v/>
      </c>
      <c r="AU204" s="10">
        <f>IF($A204="","",IF(OR(Z204=1,AR204=1,AJ204=1),"淘汰","通过"))</f>
        <v/>
      </c>
      <c r="AV204" s="10">
        <f>IF($A204="","",IF(OR(AA204=1,AR204=1,AND(AK204=1,AI204=1),AO204=1),"淘汰","通过"))</f>
        <v/>
      </c>
      <c r="AW204" s="24">
        <f>IF($A204="","",IF(AU204="淘汰","",ROUND(SUMPRODUCT(Z204:AT204,Z$2:AT$2)/5,1)))</f>
        <v/>
      </c>
      <c r="AX204" s="24">
        <f>IF($A204="","",IF(AV204="淘汰","",ROUND(SUMPRODUCT(Z204:AT204,Z$3:AT$3)/5,1)))</f>
        <v/>
      </c>
    </row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mergeCells count="1">
    <mergeCell ref="A4:AX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2025-12-18T14:35:04Z</dcterms:created>
  <dcterms:modified xmlns:dcterms="http://purl.org/dc/terms/" xmlns:xsi="http://www.w3.org/2001/XMLSchema-instance" xsi:type="dcterms:W3CDTF">2025-12-18T14:35:05Z</dcterms:modified>
</cp:coreProperties>
</file>